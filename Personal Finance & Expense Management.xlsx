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F:\projects\Ms excel\"/>
    </mc:Choice>
  </mc:AlternateContent>
  <xr:revisionPtr revIDLastSave="0" documentId="13_ncr:1_{A55D71ED-25C2-4165-9CFD-975EBB9E43DF}" xr6:coauthVersionLast="47" xr6:coauthVersionMax="47" xr10:uidLastSave="{00000000-0000-0000-0000-000000000000}"/>
  <bookViews>
    <workbookView xWindow="-108" yWindow="-108" windowWidth="23256" windowHeight="12456" activeTab="2" xr2:uid="{A378178F-6C20-4ECD-B405-C0C7825EBF25}"/>
  </bookViews>
  <sheets>
    <sheet name="Raw_Data" sheetId="1" r:id="rId1"/>
    <sheet name="Sheet5" sheetId="5" state="hidden" r:id="rId2"/>
    <sheet name="Calculation" sheetId="2" r:id="rId3"/>
    <sheet name="Dashboard" sheetId="3" r:id="rId4"/>
    <sheet name="Settings" sheetId="4" state="hidden" r:id="rId5"/>
  </sheets>
  <definedNames>
    <definedName name="Slicer_Expense_Category">#N/A</definedName>
    <definedName name="Slicer_Month">#N/A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 i="2" l="1"/>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2"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B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alcChain>
</file>

<file path=xl/sharedStrings.xml><?xml version="1.0" encoding="utf-8"?>
<sst xmlns="http://schemas.openxmlformats.org/spreadsheetml/2006/main" count="1356" uniqueCount="67">
  <si>
    <t>Date</t>
  </si>
  <si>
    <t>Month</t>
  </si>
  <si>
    <t>Income Source</t>
  </si>
  <si>
    <t>Expense Category</t>
  </si>
  <si>
    <t>Expense Type</t>
  </si>
  <si>
    <t>Payment Mode</t>
  </si>
  <si>
    <t>Amount</t>
  </si>
  <si>
    <t>Indicator</t>
  </si>
  <si>
    <t>Savings</t>
  </si>
  <si>
    <t>Budget Allocated</t>
  </si>
  <si>
    <t>Budget Remaining</t>
  </si>
  <si>
    <t>Notes</t>
  </si>
  <si>
    <t>Jan</t>
  </si>
  <si>
    <t>Salary</t>
  </si>
  <si>
    <t>-</t>
  </si>
  <si>
    <t>Bank Transfer</t>
  </si>
  <si>
    <t>Income</t>
  </si>
  <si>
    <t>Monthly Pay</t>
  </si>
  <si>
    <t>Rent</t>
  </si>
  <si>
    <t>Fixed</t>
  </si>
  <si>
    <t>Expense</t>
  </si>
  <si>
    <t>Apartment</t>
  </si>
  <si>
    <t>Food</t>
  </si>
  <si>
    <t>Variable</t>
  </si>
  <si>
    <t>UPI</t>
  </si>
  <si>
    <t>Groceries</t>
  </si>
  <si>
    <t>Freelance</t>
  </si>
  <si>
    <t>Logo Design</t>
  </si>
  <si>
    <t>EMI</t>
  </si>
  <si>
    <t>Phone EMI</t>
  </si>
  <si>
    <t>Travel</t>
  </si>
  <si>
    <t>Cash</t>
  </si>
  <si>
    <t>Petrol</t>
  </si>
  <si>
    <t>Dinner Out</t>
  </si>
  <si>
    <t>Shopping</t>
  </si>
  <si>
    <t>Credit Card</t>
  </si>
  <si>
    <t>New Shoes</t>
  </si>
  <si>
    <t>Entertainment</t>
  </si>
  <si>
    <t>Movie</t>
  </si>
  <si>
    <t>Snacks</t>
  </si>
  <si>
    <t>Business</t>
  </si>
  <si>
    <t>Side Sales</t>
  </si>
  <si>
    <t>Uber/Ola</t>
  </si>
  <si>
    <t>Health</t>
  </si>
  <si>
    <t>Pharmacy</t>
  </si>
  <si>
    <t>Grocery Refill</t>
  </si>
  <si>
    <t>Utilities</t>
  </si>
  <si>
    <t>Electricity</t>
  </si>
  <si>
    <t>Gift</t>
  </si>
  <si>
    <t>Pizza</t>
  </si>
  <si>
    <t>Subscription</t>
  </si>
  <si>
    <t>Savings Deposit</t>
  </si>
  <si>
    <t>Investment</t>
  </si>
  <si>
    <t>Feb</t>
  </si>
  <si>
    <t>Consultation</t>
  </si>
  <si>
    <t>Fuel</t>
  </si>
  <si>
    <t>Expnese Categories</t>
  </si>
  <si>
    <t>Payment Modes</t>
  </si>
  <si>
    <t>Total Income</t>
  </si>
  <si>
    <t>Total Expense</t>
  </si>
  <si>
    <t>Net Savings</t>
  </si>
  <si>
    <t>Grand Total</t>
  </si>
  <si>
    <t>Sum of Amount</t>
  </si>
  <si>
    <t>Category Analysis</t>
  </si>
  <si>
    <t>Monthly Trend</t>
  </si>
  <si>
    <t>Payment Methods</t>
  </si>
  <si>
    <t>Personal Finance &amp; Expense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</si>
</sst>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1F1F1F"/>
      <name val="Arial"/>
      <family val="2"/>
    </font>
    <font>
      <b/>
      <sz val="11"/>
      <color rgb="FF1F1F1F"/>
      <name val="Arial"/>
      <family val="2"/>
    </font>
    <font>
      <b/>
      <sz val="14"/>
      <color theme="1"/>
      <name val="Calibri"/>
      <family val="2"/>
      <scheme val="minor"/>
    </font>
    <font>
      <b/>
      <sz val="26"/>
      <color theme="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9"/>
        <bgColor indexed="64"/>
      </patternFill>
    </fill>
  </fills>
  <borders count="10">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s>
  <cellStyleXfs count="1">
    <xf numFmtId="0" fontId="0" fillId="0" borderId="0"/>
  </cellStyleXfs>
  <cellXfs count="22">
    <xf numFmtId="0" fontId="0" fillId="0" borderId="0" xfId="0"/>
    <xf numFmtId="0" fontId="2" fillId="0" borderId="1" xfId="0" applyFont="1" applyBorder="1" applyAlignment="1">
      <alignment horizontal="left" vertical="center" readingOrder="1"/>
    </xf>
    <xf numFmtId="0" fontId="2" fillId="0" borderId="1" xfId="0" applyFont="1" applyBorder="1" applyAlignment="1">
      <alignment vertical="center" readingOrder="1"/>
    </xf>
    <xf numFmtId="16" fontId="1" fillId="0" borderId="1" xfId="0" applyNumberFormat="1" applyFont="1" applyBorder="1" applyAlignment="1">
      <alignment horizontal="left" vertical="center" readingOrder="1"/>
    </xf>
    <xf numFmtId="0" fontId="1" fillId="0" borderId="1" xfId="0" applyFont="1" applyBorder="1" applyAlignment="1">
      <alignment horizontal="left" vertical="center" readingOrder="1"/>
    </xf>
    <xf numFmtId="0" fontId="1" fillId="0" borderId="1" xfId="0" applyFont="1" applyBorder="1" applyAlignment="1">
      <alignment vertical="center" readingOrder="1"/>
    </xf>
    <xf numFmtId="16" fontId="1" fillId="0" borderId="2" xfId="0" applyNumberFormat="1" applyFont="1" applyBorder="1" applyAlignment="1">
      <alignment horizontal="left" vertical="center" readingOrder="1"/>
    </xf>
    <xf numFmtId="0" fontId="1" fillId="0" borderId="3" xfId="0" applyFont="1" applyBorder="1" applyAlignment="1">
      <alignment vertical="center" readingOrder="1"/>
    </xf>
    <xf numFmtId="0" fontId="2" fillId="0" borderId="4" xfId="0" applyFont="1" applyBorder="1" applyAlignment="1">
      <alignment horizontal="left" vertical="center" readingOrder="1"/>
    </xf>
    <xf numFmtId="0" fontId="2" fillId="0" borderId="5" xfId="0" applyFont="1" applyBorder="1" applyAlignment="1">
      <alignment horizontal="left" vertical="center" readingOrder="1"/>
    </xf>
    <xf numFmtId="0" fontId="2" fillId="0" borderId="6" xfId="0" applyFont="1" applyBorder="1" applyAlignment="1">
      <alignment vertical="center" readingOrder="1"/>
    </xf>
    <xf numFmtId="16" fontId="1" fillId="0" borderId="7" xfId="0" applyNumberFormat="1" applyFont="1" applyBorder="1" applyAlignment="1">
      <alignment horizontal="left" vertical="center" readingOrder="1"/>
    </xf>
    <xf numFmtId="0" fontId="1" fillId="0" borderId="8" xfId="0" applyFont="1" applyBorder="1" applyAlignment="1">
      <alignment horizontal="left" vertical="center" readingOrder="1"/>
    </xf>
    <xf numFmtId="0" fontId="1" fillId="0" borderId="9" xfId="0" applyFont="1" applyBorder="1" applyAlignment="1">
      <alignment vertical="center" readingOrder="1"/>
    </xf>
    <xf numFmtId="0" fontId="3" fillId="0" borderId="0" xfId="0" applyFont="1"/>
    <xf numFmtId="0" fontId="1" fillId="0" borderId="5" xfId="0" applyFont="1" applyBorder="1" applyAlignment="1">
      <alignment horizontal="left" vertical="center" readingOrder="1"/>
    </xf>
    <xf numFmtId="10" fontId="1" fillId="0" borderId="5" xfId="0" applyNumberFormat="1" applyFont="1" applyBorder="1" applyAlignment="1">
      <alignment horizontal="left" vertical="center" readingOrder="1"/>
    </xf>
    <xf numFmtId="0" fontId="0" fillId="0" borderId="0" xfId="0" pivotButton="1"/>
    <xf numFmtId="0" fontId="0" fillId="0" borderId="0" xfId="0" applyAlignment="1">
      <alignment horizontal="left"/>
    </xf>
    <xf numFmtId="0" fontId="0" fillId="2" borderId="0" xfId="0" applyFill="1"/>
    <xf numFmtId="0" fontId="0" fillId="3" borderId="0" xfId="0" applyFill="1"/>
    <xf numFmtId="0" fontId="4" fillId="3" borderId="0" xfId="0" applyFont="1" applyFill="1" applyAlignment="1">
      <alignment horizontal="center" vertical="center"/>
    </xf>
  </cellXfs>
  <cellStyles count="1">
    <cellStyle name="Normal" xfId="0" builtinId="0"/>
  </cellStyles>
  <dxfs count="20">
    <dxf>
      <font>
        <b val="0"/>
        <i val="0"/>
        <strike val="0"/>
        <condense val="0"/>
        <extend val="0"/>
        <outline val="0"/>
        <shadow val="0"/>
        <u val="none"/>
        <vertAlign val="baseline"/>
        <sz val="11"/>
        <color rgb="FF1F1F1F"/>
        <name val="Arial"/>
        <family val="2"/>
        <scheme val="none"/>
      </font>
      <numFmt numFmtId="0" formatCode="General"/>
      <alignment horizontal="left" vertical="center" textRotation="0" wrapText="0" indent="0"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numFmt numFmtId="0" formatCode="General"/>
      <alignment horizontal="left" vertical="center" textRotation="0" wrapText="0" indent="0"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numFmt numFmtId="0" formatCode="General"/>
      <alignment horizontal="left" vertical="center" textRotation="0" wrapText="0" indent="0"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general" vertical="center" textRotation="0" wrapText="0" indent="0" justifyLastLine="0" shrinkToFit="0" readingOrder="1"/>
      <border diagonalUp="0" diagonalDown="0">
        <left style="medium">
          <color rgb="FF000000"/>
        </left>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0" indent="0"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0" indent="0"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0" indent="0"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0" indent="0"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0" indent="0"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0" indent="0"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0" indent="0"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0" indent="0"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0" indent="0"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numFmt numFmtId="0" formatCode="General"/>
      <alignment horizontal="left" vertical="center" textRotation="0" wrapText="0" indent="0"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numFmt numFmtId="21" formatCode="dd/mmm"/>
      <alignment horizontal="left" vertical="center" textRotation="0" wrapText="0" indent="0" justifyLastLine="0" shrinkToFit="0" readingOrder="1"/>
      <border diagonalUp="0" diagonalDown="0">
        <left/>
        <right style="medium">
          <color rgb="FF000000"/>
        </right>
        <top style="medium">
          <color rgb="FF000000"/>
        </top>
        <bottom style="medium">
          <color rgb="FF000000"/>
        </bottom>
        <vertical/>
        <horizontal/>
      </border>
    </dxf>
    <dxf>
      <border outline="0">
        <top style="medium">
          <color rgb="FF000000"/>
        </top>
      </border>
    </dxf>
    <dxf>
      <border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1"/>
        <color rgb="FF1F1F1F"/>
        <name val="Arial"/>
        <family val="2"/>
        <scheme val="none"/>
      </font>
      <alignment horizontal="left" vertical="center" textRotation="0" wrapText="0" indent="0" justifyLastLine="0" shrinkToFit="0" readingOrder="1"/>
    </dxf>
    <dxf>
      <border outline="0">
        <bottom style="medium">
          <color rgb="FF000000"/>
        </bottom>
      </border>
    </dxf>
    <dxf>
      <font>
        <b/>
        <i val="0"/>
        <strike val="0"/>
        <condense val="0"/>
        <extend val="0"/>
        <outline val="0"/>
        <shadow val="0"/>
        <u val="none"/>
        <vertAlign val="baseline"/>
        <sz val="11"/>
        <color rgb="FF1F1F1F"/>
        <name val="Arial"/>
        <family val="2"/>
        <scheme val="none"/>
      </font>
      <alignment horizontal="left" vertical="center" textRotation="0" wrapText="0" indent="0" justifyLastLine="0" shrinkToFit="0" readingOrder="1"/>
      <border diagonalUp="0" diagonalDown="0" outline="0">
        <left style="medium">
          <color rgb="FF000000"/>
        </left>
        <right style="medium">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&amp; Expense Management.xlsx]Sheet5!PivotTable1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157-435D-BD3A-C81D525B81A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545-40FC-94BF-1F1AC95E58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Sheet5!$A$4:$A$6</c:f>
              <c:strCache>
                <c:ptCount val="2"/>
                <c:pt idx="0">
                  <c:v>Food</c:v>
                </c:pt>
                <c:pt idx="1">
                  <c:v>Shopping</c:v>
                </c:pt>
              </c:strCache>
            </c:strRef>
          </c:cat>
          <c:val>
            <c:numRef>
              <c:f>Sheet5!$B$4:$B$6</c:f>
              <c:numCache>
                <c:formatCode>General</c:formatCode>
                <c:ptCount val="2"/>
                <c:pt idx="0">
                  <c:v>81356.076923076864</c:v>
                </c:pt>
                <c:pt idx="1">
                  <c:v>-6290.6923076923304</c:v>
                </c:pt>
              </c:numCache>
            </c:numRef>
          </c:val>
          <c:extLst>
            <c:ext xmlns:c16="http://schemas.microsoft.com/office/drawing/2014/chart" uri="{C3380CC4-5D6E-409C-BE32-E72D297353CC}">
              <c16:uniqueId val="{00000002-5157-435D-BD3A-C81D525B81A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&amp; Expense Management.xlsx]Sheet5!PivotTable2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Sheet5!$B$8</c:f>
              <c:strCache>
                <c:ptCount val="1"/>
                <c:pt idx="0">
                  <c:v>Total</c:v>
                </c:pt>
              </c:strCache>
            </c:strRef>
          </c:tx>
          <c:spPr>
            <a:ln w="28575" cap="rnd">
              <a:solidFill>
                <a:schemeClr val="accent1"/>
              </a:solidFill>
              <a:round/>
            </a:ln>
            <a:effectLst/>
          </c:spPr>
          <c:marker>
            <c:symbol val="none"/>
          </c:marker>
          <c:cat>
            <c:strRef>
              <c:f>Sheet5!$A$9:$A$11</c:f>
              <c:strCache>
                <c:ptCount val="2"/>
                <c:pt idx="0">
                  <c:v>Jan</c:v>
                </c:pt>
                <c:pt idx="1">
                  <c:v>Feb</c:v>
                </c:pt>
              </c:strCache>
            </c:strRef>
          </c:cat>
          <c:val>
            <c:numRef>
              <c:f>Sheet5!$B$9:$B$11</c:f>
              <c:numCache>
                <c:formatCode>General</c:formatCode>
                <c:ptCount val="2"/>
                <c:pt idx="0">
                  <c:v>53077.692307692349</c:v>
                </c:pt>
                <c:pt idx="1">
                  <c:v>21987.692307692196</c:v>
                </c:pt>
              </c:numCache>
            </c:numRef>
          </c:val>
          <c:smooth val="0"/>
          <c:extLst>
            <c:ext xmlns:c16="http://schemas.microsoft.com/office/drawing/2014/chart" uri="{C3380CC4-5D6E-409C-BE32-E72D297353CC}">
              <c16:uniqueId val="{00000000-F4F6-4D51-AFD4-A67B05E8CDFF}"/>
            </c:ext>
          </c:extLst>
        </c:ser>
        <c:dLbls>
          <c:showLegendKey val="0"/>
          <c:showVal val="0"/>
          <c:showCatName val="0"/>
          <c:showSerName val="0"/>
          <c:showPercent val="0"/>
          <c:showBubbleSize val="0"/>
        </c:dLbls>
        <c:smooth val="0"/>
        <c:axId val="1944977599"/>
        <c:axId val="1944980479"/>
      </c:lineChart>
      <c:catAx>
        <c:axId val="1944977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980479"/>
        <c:crosses val="autoZero"/>
        <c:auto val="1"/>
        <c:lblAlgn val="ctr"/>
        <c:lblOffset val="100"/>
        <c:noMultiLvlLbl val="0"/>
      </c:catAx>
      <c:valAx>
        <c:axId val="1944980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977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7000">
          <a:schemeClr val="accent6">
            <a:lumMod val="20000"/>
            <a:lumOff val="80000"/>
          </a:schemeClr>
        </a:gs>
        <a:gs pos="0">
          <a:schemeClr val="accent1">
            <a:lumMod val="5000"/>
            <a:lumOff val="95000"/>
            <a:alpha val="99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&amp; Expense Management.xlsx]Sheet5!PivotTable3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Sheet5!$A$14:$A$15</c:f>
              <c:strCache>
                <c:ptCount val="1"/>
                <c:pt idx="0">
                  <c:v>UPI</c:v>
                </c:pt>
              </c:strCache>
            </c:strRef>
          </c:cat>
          <c:val>
            <c:numRef>
              <c:f>Sheet5!$B$14:$B$15</c:f>
              <c:numCache>
                <c:formatCode>General</c:formatCode>
                <c:ptCount val="1"/>
                <c:pt idx="0">
                  <c:v>75065.384615384537</c:v>
                </c:pt>
              </c:numCache>
            </c:numRef>
          </c:val>
          <c:extLst>
            <c:ext xmlns:c16="http://schemas.microsoft.com/office/drawing/2014/chart" uri="{C3380CC4-5D6E-409C-BE32-E72D297353CC}">
              <c16:uniqueId val="{00000000-F1F2-4D35-85C1-66FC618DF1E9}"/>
            </c:ext>
          </c:extLst>
        </c:ser>
        <c:dLbls>
          <c:showLegendKey val="0"/>
          <c:showVal val="0"/>
          <c:showCatName val="0"/>
          <c:showSerName val="0"/>
          <c:showPercent val="0"/>
          <c:showBubbleSize val="0"/>
        </c:dLbls>
        <c:gapWidth val="182"/>
        <c:axId val="127141935"/>
        <c:axId val="127140495"/>
      </c:barChart>
      <c:catAx>
        <c:axId val="127141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40495"/>
        <c:crosses val="autoZero"/>
        <c:auto val="1"/>
        <c:lblAlgn val="ctr"/>
        <c:lblOffset val="100"/>
        <c:noMultiLvlLbl val="0"/>
      </c:catAx>
      <c:valAx>
        <c:axId val="1271404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4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419100</xdr:colOff>
      <xdr:row>7</xdr:row>
      <xdr:rowOff>30480</xdr:rowOff>
    </xdr:from>
    <xdr:to>
      <xdr:col>11</xdr:col>
      <xdr:colOff>198120</xdr:colOff>
      <xdr:row>15</xdr:row>
      <xdr:rowOff>137160</xdr:rowOff>
    </xdr:to>
    <xdr:sp macro="" textlink="Calculation!M2">
      <xdr:nvSpPr>
        <xdr:cNvPr id="2" name="Rectangle 1">
          <a:extLst>
            <a:ext uri="{FF2B5EF4-FFF2-40B4-BE49-F238E27FC236}">
              <a16:creationId xmlns:a16="http://schemas.microsoft.com/office/drawing/2014/main" id="{E189D293-7377-A73A-5D3E-D6E3B71E9228}"/>
            </a:ext>
          </a:extLst>
        </xdr:cNvPr>
        <xdr:cNvSpPr/>
      </xdr:nvSpPr>
      <xdr:spPr>
        <a:xfrm>
          <a:off x="3467100" y="1310640"/>
          <a:ext cx="3436620" cy="15697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9BA32E9-8782-4617-91AE-D5564FD73C34}" type="TxLink">
            <a:rPr lang="en-US" sz="5400" b="1" i="0" u="none" strike="noStrike">
              <a:solidFill>
                <a:srgbClr val="1F1F1F"/>
              </a:solidFill>
              <a:latin typeface="Arial"/>
              <a:cs typeface="Arial"/>
            </a:rPr>
            <a:pPr algn="ctr"/>
            <a:t>55000</a:t>
          </a:fld>
          <a:endParaRPr lang="en-IN" sz="5400" b="1"/>
        </a:p>
      </xdr:txBody>
    </xdr:sp>
    <xdr:clientData/>
  </xdr:twoCellAnchor>
  <xdr:twoCellAnchor>
    <xdr:from>
      <xdr:col>0</xdr:col>
      <xdr:colOff>167640</xdr:colOff>
      <xdr:row>16</xdr:row>
      <xdr:rowOff>91440</xdr:rowOff>
    </xdr:from>
    <xdr:to>
      <xdr:col>7</xdr:col>
      <xdr:colOff>472440</xdr:colOff>
      <xdr:row>26</xdr:row>
      <xdr:rowOff>160020</xdr:rowOff>
    </xdr:to>
    <xdr:graphicFrame macro="">
      <xdr:nvGraphicFramePr>
        <xdr:cNvPr id="3" name="Chart 2">
          <a:extLst>
            <a:ext uri="{FF2B5EF4-FFF2-40B4-BE49-F238E27FC236}">
              <a16:creationId xmlns:a16="http://schemas.microsoft.com/office/drawing/2014/main" id="{C4806AC6-066B-4AFB-A782-D776F1689A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373380</xdr:colOff>
      <xdr:row>4</xdr:row>
      <xdr:rowOff>91440</xdr:rowOff>
    </xdr:from>
    <xdr:to>
      <xdr:col>22</xdr:col>
      <xdr:colOff>289560</xdr:colOff>
      <xdr:row>16</xdr:row>
      <xdr:rowOff>53340</xdr:rowOff>
    </xdr:to>
    <xdr:graphicFrame macro="">
      <xdr:nvGraphicFramePr>
        <xdr:cNvPr id="4" name="Chart 3">
          <a:extLst>
            <a:ext uri="{FF2B5EF4-FFF2-40B4-BE49-F238E27FC236}">
              <a16:creationId xmlns:a16="http://schemas.microsoft.com/office/drawing/2014/main" id="{1CD24CAA-7090-4F42-9C88-2B725FE54A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274320</xdr:colOff>
      <xdr:row>16</xdr:row>
      <xdr:rowOff>160020</xdr:rowOff>
    </xdr:from>
    <xdr:to>
      <xdr:col>22</xdr:col>
      <xdr:colOff>213360</xdr:colOff>
      <xdr:row>27</xdr:row>
      <xdr:rowOff>15240</xdr:rowOff>
    </xdr:to>
    <xdr:graphicFrame macro="">
      <xdr:nvGraphicFramePr>
        <xdr:cNvPr id="5" name="Chart 4">
          <a:extLst>
            <a:ext uri="{FF2B5EF4-FFF2-40B4-BE49-F238E27FC236}">
              <a16:creationId xmlns:a16="http://schemas.microsoft.com/office/drawing/2014/main" id="{50F0C97E-4CC5-452B-9CB0-66C49F3DF4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121920</xdr:colOff>
      <xdr:row>17</xdr:row>
      <xdr:rowOff>15241</xdr:rowOff>
    </xdr:from>
    <xdr:to>
      <xdr:col>14</xdr:col>
      <xdr:colOff>121920</xdr:colOff>
      <xdr:row>22</xdr:row>
      <xdr:rowOff>91441</xdr:rowOff>
    </xdr:to>
    <mc:AlternateContent xmlns:mc="http://schemas.openxmlformats.org/markup-compatibility/2006" xmlns:a14="http://schemas.microsoft.com/office/drawing/2010/main">
      <mc:Choice Requires="a14">
        <xdr:graphicFrame macro="">
          <xdr:nvGraphicFramePr>
            <xdr:cNvPr id="6" name="Month">
              <a:extLst>
                <a:ext uri="{FF2B5EF4-FFF2-40B4-BE49-F238E27FC236}">
                  <a16:creationId xmlns:a16="http://schemas.microsoft.com/office/drawing/2014/main" id="{1232E1F3-ED20-D6E1-3AEB-AA126A9E328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827520" y="3124201"/>
              <a:ext cx="1828800" cy="990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579120</xdr:colOff>
      <xdr:row>17</xdr:row>
      <xdr:rowOff>22861</xdr:rowOff>
    </xdr:from>
    <xdr:to>
      <xdr:col>10</xdr:col>
      <xdr:colOff>579120</xdr:colOff>
      <xdr:row>21</xdr:row>
      <xdr:rowOff>144781</xdr:rowOff>
    </xdr:to>
    <mc:AlternateContent xmlns:mc="http://schemas.openxmlformats.org/markup-compatibility/2006" xmlns:a14="http://schemas.microsoft.com/office/drawing/2010/main">
      <mc:Choice Requires="a14">
        <xdr:graphicFrame macro="">
          <xdr:nvGraphicFramePr>
            <xdr:cNvPr id="7" name="Expense Category">
              <a:extLst>
                <a:ext uri="{FF2B5EF4-FFF2-40B4-BE49-F238E27FC236}">
                  <a16:creationId xmlns:a16="http://schemas.microsoft.com/office/drawing/2014/main" id="{E3FAB0E0-32B3-8E4C-6F38-3CDA1C86EDCC}"/>
                </a:ext>
              </a:extLst>
            </xdr:cNvPr>
            <xdr:cNvGraphicFramePr/>
          </xdr:nvGraphicFramePr>
          <xdr:xfrm>
            <a:off x="0" y="0"/>
            <a:ext cx="0" cy="0"/>
          </xdr:xfrm>
          <a:graphic>
            <a:graphicData uri="http://schemas.microsoft.com/office/drawing/2010/slicer">
              <sle:slicer xmlns:sle="http://schemas.microsoft.com/office/drawing/2010/slicer" name="Expense Category"/>
            </a:graphicData>
          </a:graphic>
        </xdr:graphicFrame>
      </mc:Choice>
      <mc:Fallback xmlns="">
        <xdr:sp macro="" textlink="">
          <xdr:nvSpPr>
            <xdr:cNvPr id="0" name=""/>
            <xdr:cNvSpPr>
              <a:spLocks noTextEdit="1"/>
            </xdr:cNvSpPr>
          </xdr:nvSpPr>
          <xdr:spPr>
            <a:xfrm>
              <a:off x="4846320" y="3131821"/>
              <a:ext cx="1828800" cy="853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403860</xdr:colOff>
      <xdr:row>4</xdr:row>
      <xdr:rowOff>76200</xdr:rowOff>
    </xdr:from>
    <xdr:to>
      <xdr:col>11</xdr:col>
      <xdr:colOff>205740</xdr:colOff>
      <xdr:row>6</xdr:row>
      <xdr:rowOff>76200</xdr:rowOff>
    </xdr:to>
    <xdr:sp macro="" textlink="">
      <xdr:nvSpPr>
        <xdr:cNvPr id="8" name="Rectangle 7">
          <a:extLst>
            <a:ext uri="{FF2B5EF4-FFF2-40B4-BE49-F238E27FC236}">
              <a16:creationId xmlns:a16="http://schemas.microsoft.com/office/drawing/2014/main" id="{502B8414-608C-AA34-C14E-665FEFB17141}"/>
            </a:ext>
          </a:extLst>
        </xdr:cNvPr>
        <xdr:cNvSpPr/>
      </xdr:nvSpPr>
      <xdr:spPr>
        <a:xfrm>
          <a:off x="3451860" y="807720"/>
          <a:ext cx="3459480" cy="3657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Total Income</a:t>
          </a:r>
        </a:p>
        <a:p>
          <a:pPr algn="ctr"/>
          <a:endParaRPr lang="en-IN" sz="1400" b="1">
            <a:solidFill>
              <a:schemeClr val="tx1"/>
            </a:solidFill>
          </a:endParaRPr>
        </a:p>
      </xdr:txBody>
    </xdr:sp>
    <xdr:clientData/>
  </xdr:twoCellAnchor>
  <xdr:twoCellAnchor>
    <xdr:from>
      <xdr:col>0</xdr:col>
      <xdr:colOff>495300</xdr:colOff>
      <xdr:row>6</xdr:row>
      <xdr:rowOff>22860</xdr:rowOff>
    </xdr:from>
    <xdr:to>
      <xdr:col>4</xdr:col>
      <xdr:colOff>594360</xdr:colOff>
      <xdr:row>13</xdr:row>
      <xdr:rowOff>160020</xdr:rowOff>
    </xdr:to>
    <xdr:sp macro="" textlink="">
      <xdr:nvSpPr>
        <xdr:cNvPr id="9" name="Arrow: Right 8">
          <a:extLst>
            <a:ext uri="{FF2B5EF4-FFF2-40B4-BE49-F238E27FC236}">
              <a16:creationId xmlns:a16="http://schemas.microsoft.com/office/drawing/2014/main" id="{126F9CB2-F95F-E40A-7BE3-E494C97C6723}"/>
            </a:ext>
          </a:extLst>
        </xdr:cNvPr>
        <xdr:cNvSpPr/>
      </xdr:nvSpPr>
      <xdr:spPr>
        <a:xfrm>
          <a:off x="495300" y="1120140"/>
          <a:ext cx="2537460" cy="1417320"/>
        </a:xfrm>
        <a:prstGeom prst="rightArrow">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ay" refreshedDate="46124.907610069444" createdVersion="8" refreshedVersion="8" minRefreshableVersion="3" recordCount="100" xr:uid="{716F04DF-0C67-457A-A67C-CEBEA55B6F1D}">
  <cacheSource type="worksheet">
    <worksheetSource name="FinanceData"/>
  </cacheSource>
  <cacheFields count="15">
    <cacheField name="Date" numFmtId="16">
      <sharedItems containsSemiMixedTypes="0" containsNonDate="0" containsDate="1" containsString="0" minDate="2026-01-01T00:00:00" maxDate="2026-02-09T00:00:00"/>
    </cacheField>
    <cacheField name="Month" numFmtId="0">
      <sharedItems count="2">
        <s v="Jan"/>
        <s v="Feb"/>
      </sharedItems>
    </cacheField>
    <cacheField name="Income Source" numFmtId="0">
      <sharedItems/>
    </cacheField>
    <cacheField name="Expense Category" numFmtId="0">
      <sharedItems containsBlank="1" count="3">
        <s v="Food"/>
        <s v="Shopping"/>
        <m u="1"/>
      </sharedItems>
    </cacheField>
    <cacheField name="Expense Type" numFmtId="0">
      <sharedItems/>
    </cacheField>
    <cacheField name="Payment Mode" numFmtId="0">
      <sharedItems containsBlank="1" count="2">
        <s v="UPI"/>
        <m u="1"/>
      </sharedItems>
    </cacheField>
    <cacheField name="Amount" numFmtId="0">
      <sharedItems containsSemiMixedTypes="0" containsString="0" containsNumber="1" minValue="-8543.9230769231308" maxValue="55000"/>
    </cacheField>
    <cacheField name="Indicator" numFmtId="0">
      <sharedItems/>
    </cacheField>
    <cacheField name="Savings" numFmtId="0">
      <sharedItems containsSemiMixedTypes="0" containsString="0" containsNumber="1" minValue="-12000" maxValue="55000"/>
    </cacheField>
    <cacheField name="Budget Allocated" numFmtId="0">
      <sharedItems containsSemiMixedTypes="0" containsString="0" containsNumber="1" minValue="-5914.6153846153602" maxValue="55000"/>
    </cacheField>
    <cacheField name="Budget Remaining" numFmtId="0">
      <sharedItems containsSemiMixedTypes="0" containsString="0" containsNumber="1" minValue="-1000" maxValue="6550"/>
    </cacheField>
    <cacheField name="Notes" numFmtId="0">
      <sharedItems/>
    </cacheField>
    <cacheField name="Total Income" numFmtId="0">
      <sharedItems containsSemiMixedTypes="0" containsString="0" containsNumber="1" minValue="-8356.1538461538294" maxValue="55000"/>
    </cacheField>
    <cacheField name="Total Expense" numFmtId="0">
      <sharedItems containsSemiMixedTypes="0" containsString="0" containsNumber="1" minValue="-8543.9230769231308" maxValue="12000"/>
    </cacheField>
    <cacheField name="Net Savings" numFmtId="10">
      <sharedItems containsSemiMixedTypes="0" containsString="0" containsNumber="1" containsInteger="1" minValue="0" maxValue="1"/>
    </cacheField>
  </cacheFields>
  <extLst>
    <ext xmlns:x14="http://schemas.microsoft.com/office/spreadsheetml/2009/9/main" uri="{725AE2AE-9491-48be-B2B4-4EB974FC3084}">
      <x14:pivotCacheDefinition pivotCacheId="1415034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d v="2026-01-01T00:00:00"/>
    <x v="0"/>
    <s v="Salary"/>
    <x v="0"/>
    <s v="-"/>
    <x v="0"/>
    <n v="55000"/>
    <s v="Income"/>
    <n v="55000"/>
    <n v="55000"/>
    <n v="0"/>
    <s v="Monthly Pay"/>
    <n v="55000"/>
    <n v="0"/>
    <n v="1"/>
  </r>
  <r>
    <d v="2026-01-02T00:00:00"/>
    <x v="0"/>
    <s v="-"/>
    <x v="0"/>
    <s v="Fixed"/>
    <x v="0"/>
    <n v="12000"/>
    <s v="Expense"/>
    <n v="-12000"/>
    <n v="12000"/>
    <n v="0"/>
    <s v="Apartment"/>
    <n v="0"/>
    <n v="12000"/>
    <n v="0"/>
  </r>
  <r>
    <d v="2026-01-03T00:00:00"/>
    <x v="0"/>
    <s v="-"/>
    <x v="0"/>
    <s v="Variable"/>
    <x v="0"/>
    <n v="450"/>
    <s v="Expense"/>
    <n v="-450"/>
    <n v="7000"/>
    <n v="6550"/>
    <s v="Groceries"/>
    <n v="0"/>
    <n v="450"/>
    <n v="0"/>
  </r>
  <r>
    <d v="2026-01-04T00:00:00"/>
    <x v="0"/>
    <s v="Freelance"/>
    <x v="0"/>
    <s v="-"/>
    <x v="0"/>
    <n v="8000"/>
    <s v="Income"/>
    <n v="8000"/>
    <n v="8000"/>
    <n v="0"/>
    <s v="Logo Design"/>
    <n v="8000"/>
    <n v="0"/>
    <n v="1"/>
  </r>
  <r>
    <d v="2026-01-05T00:00:00"/>
    <x v="0"/>
    <s v="-"/>
    <x v="0"/>
    <s v="Fixed"/>
    <x v="0"/>
    <n v="3500"/>
    <s v="Expense"/>
    <n v="-3500"/>
    <n v="3500"/>
    <n v="0"/>
    <s v="Phone EMI"/>
    <n v="0"/>
    <n v="3500"/>
    <n v="0"/>
  </r>
  <r>
    <d v="2026-01-07T00:00:00"/>
    <x v="0"/>
    <s v="-"/>
    <x v="0"/>
    <s v="Variable"/>
    <x v="0"/>
    <n v="1200"/>
    <s v="Expense"/>
    <n v="-1200"/>
    <n v="4000"/>
    <n v="2800"/>
    <s v="Petrol"/>
    <n v="0"/>
    <n v="1200"/>
    <n v="0"/>
  </r>
  <r>
    <d v="2026-01-08T00:00:00"/>
    <x v="0"/>
    <s v="-"/>
    <x v="0"/>
    <s v="Variable"/>
    <x v="0"/>
    <n v="850"/>
    <s v="Expense"/>
    <n v="-850"/>
    <n v="7000"/>
    <n v="5700"/>
    <s v="Dinner Out"/>
    <n v="0"/>
    <n v="850"/>
    <n v="0"/>
  </r>
  <r>
    <d v="2026-01-10T00:00:00"/>
    <x v="0"/>
    <s v="-"/>
    <x v="0"/>
    <s v="Variable"/>
    <x v="0"/>
    <n v="4200"/>
    <s v="Expense"/>
    <n v="-4200"/>
    <n v="5000"/>
    <n v="800"/>
    <s v="New Shoes"/>
    <n v="0"/>
    <n v="4200"/>
    <n v="0"/>
  </r>
  <r>
    <d v="2026-01-12T00:00:00"/>
    <x v="0"/>
    <s v="-"/>
    <x v="0"/>
    <s v="Variable"/>
    <x v="0"/>
    <n v="600"/>
    <s v="Expense"/>
    <n v="-600"/>
    <n v="2000"/>
    <n v="1400"/>
    <s v="Movie"/>
    <n v="0"/>
    <n v="600"/>
    <n v="0"/>
  </r>
  <r>
    <d v="2026-01-14T00:00:00"/>
    <x v="0"/>
    <s v="-"/>
    <x v="0"/>
    <s v="Variable"/>
    <x v="0"/>
    <n v="300"/>
    <s v="Expense"/>
    <n v="-300"/>
    <n v="7000"/>
    <n v="5400"/>
    <s v="Snacks"/>
    <n v="0"/>
    <n v="300"/>
    <n v="0"/>
  </r>
  <r>
    <d v="2026-01-15T00:00:00"/>
    <x v="0"/>
    <s v="Business"/>
    <x v="0"/>
    <s v="-"/>
    <x v="0"/>
    <n v="15000"/>
    <s v="Income"/>
    <n v="15000"/>
    <n v="15000"/>
    <n v="0"/>
    <s v="Side Sales"/>
    <n v="15000"/>
    <n v="0"/>
    <n v="1"/>
  </r>
  <r>
    <d v="2026-01-16T00:00:00"/>
    <x v="0"/>
    <s v="-"/>
    <x v="0"/>
    <s v="Variable"/>
    <x v="0"/>
    <n v="500"/>
    <s v="Expense"/>
    <n v="-500"/>
    <n v="4000"/>
    <n v="2300"/>
    <s v="Uber/Ola"/>
    <n v="0"/>
    <n v="500"/>
    <n v="0"/>
  </r>
  <r>
    <d v="2026-01-18T00:00:00"/>
    <x v="0"/>
    <s v="-"/>
    <x v="0"/>
    <s v="Variable"/>
    <x v="0"/>
    <n v="1500"/>
    <s v="Expense"/>
    <n v="-1500"/>
    <n v="2000"/>
    <n v="500"/>
    <s v="Pharmacy"/>
    <n v="0"/>
    <n v="1500"/>
    <n v="0"/>
  </r>
  <r>
    <d v="2026-01-20T00:00:00"/>
    <x v="0"/>
    <s v="-"/>
    <x v="0"/>
    <s v="Variable"/>
    <x v="0"/>
    <n v="1100"/>
    <s v="Expense"/>
    <n v="-1100"/>
    <n v="7000"/>
    <n v="4300"/>
    <s v="Grocery Refill"/>
    <n v="0"/>
    <n v="1100"/>
    <n v="0"/>
  </r>
  <r>
    <d v="2026-01-22T00:00:00"/>
    <x v="0"/>
    <s v="-"/>
    <x v="0"/>
    <s v="Fixed"/>
    <x v="0"/>
    <n v="2200"/>
    <s v="Expense"/>
    <n v="-2200"/>
    <n v="2500"/>
    <n v="300"/>
    <s v="Electricity"/>
    <n v="0"/>
    <n v="2200"/>
    <n v="0"/>
  </r>
  <r>
    <d v="2026-01-24T00:00:00"/>
    <x v="0"/>
    <s v="-"/>
    <x v="0"/>
    <s v="Variable"/>
    <x v="0"/>
    <n v="1800"/>
    <s v="Expense"/>
    <n v="-1800"/>
    <n v="5000"/>
    <n v="-1000"/>
    <s v="Gift"/>
    <n v="0"/>
    <n v="1800"/>
    <n v="0"/>
  </r>
  <r>
    <d v="2026-01-25T00:00:00"/>
    <x v="0"/>
    <s v="-"/>
    <x v="0"/>
    <s v="Variable"/>
    <x v="0"/>
    <n v="900"/>
    <s v="Expense"/>
    <n v="-900"/>
    <n v="4000"/>
    <n v="1400"/>
    <s v="Petrol"/>
    <n v="0"/>
    <n v="900"/>
    <n v="0"/>
  </r>
  <r>
    <d v="2026-01-26T00:00:00"/>
    <x v="0"/>
    <s v="-"/>
    <x v="0"/>
    <s v="Variable"/>
    <x v="0"/>
    <n v="400"/>
    <s v="Expense"/>
    <n v="-400"/>
    <n v="7000"/>
    <n v="3900"/>
    <s v="Pizza"/>
    <n v="0"/>
    <n v="400"/>
    <n v="0"/>
  </r>
  <r>
    <d v="2026-01-28T00:00:00"/>
    <x v="0"/>
    <s v="-"/>
    <x v="0"/>
    <s v="Variable"/>
    <x v="0"/>
    <n v="1200"/>
    <s v="Expense"/>
    <n v="-1200"/>
    <n v="2000"/>
    <n v="200"/>
    <s v="Subscription"/>
    <n v="0"/>
    <n v="1200"/>
    <n v="0"/>
  </r>
  <r>
    <d v="2026-01-30T00:00:00"/>
    <x v="0"/>
    <s v="-"/>
    <x v="0"/>
    <s v="Fixed"/>
    <x v="0"/>
    <n v="10000"/>
    <s v="Expense"/>
    <n v="-10000"/>
    <n v="10000"/>
    <n v="0"/>
    <s v="Investment"/>
    <n v="0"/>
    <n v="10000"/>
    <n v="0"/>
  </r>
  <r>
    <d v="2026-02-01T00:00:00"/>
    <x v="1"/>
    <s v="Salary"/>
    <x v="0"/>
    <s v="-"/>
    <x v="0"/>
    <n v="55000"/>
    <s v="Income"/>
    <n v="55000"/>
    <n v="55000"/>
    <n v="0"/>
    <s v="Monthly Pay"/>
    <n v="55000"/>
    <n v="0"/>
    <n v="1"/>
  </r>
  <r>
    <d v="2026-02-02T00:00:00"/>
    <x v="1"/>
    <s v="-"/>
    <x v="0"/>
    <s v="Fixed"/>
    <x v="0"/>
    <n v="12000"/>
    <s v="Expense"/>
    <n v="-12000"/>
    <n v="12000"/>
    <n v="0"/>
    <s v="Apartment"/>
    <n v="0"/>
    <n v="12000"/>
    <n v="0"/>
  </r>
  <r>
    <d v="2026-02-04T00:00:00"/>
    <x v="1"/>
    <s v="-"/>
    <x v="0"/>
    <s v="Variable"/>
    <x v="0"/>
    <n v="600"/>
    <s v="Expense"/>
    <n v="-600"/>
    <n v="7000"/>
    <n v="6400"/>
    <s v="Groceries"/>
    <n v="0"/>
    <n v="600"/>
    <n v="0"/>
  </r>
  <r>
    <d v="2026-02-06T00:00:00"/>
    <x v="1"/>
    <s v="Freelance"/>
    <x v="0"/>
    <s v="-"/>
    <x v="0"/>
    <n v="5000"/>
    <s v="Income"/>
    <n v="5000"/>
    <n v="5000"/>
    <n v="0"/>
    <s v="Consultation"/>
    <n v="5000"/>
    <n v="0"/>
    <n v="1"/>
  </r>
  <r>
    <d v="2026-02-08T00:00:00"/>
    <x v="1"/>
    <s v="-"/>
    <x v="0"/>
    <s v="Variable"/>
    <x v="0"/>
    <n v="1500"/>
    <s v="Expense"/>
    <n v="-1500"/>
    <n v="4000"/>
    <n v="2500"/>
    <s v="Fuel"/>
    <n v="0"/>
    <n v="1500"/>
    <n v="0"/>
  </r>
  <r>
    <d v="2026-01-01T00:00:00"/>
    <x v="0"/>
    <s v="Salary"/>
    <x v="0"/>
    <s v="-"/>
    <x v="0"/>
    <n v="5351"/>
    <s v="Income"/>
    <n v="5351"/>
    <n v="7690"/>
    <n v="1486"/>
    <s v="Monthly Pay"/>
    <n v="5351"/>
    <n v="0"/>
    <n v="1"/>
  </r>
  <r>
    <d v="2026-01-02T00:00:00"/>
    <x v="0"/>
    <s v="-"/>
    <x v="0"/>
    <s v="Fixed"/>
    <x v="0"/>
    <n v="5163.2307692307704"/>
    <s v="Expense"/>
    <n v="-5163.2307692307704"/>
    <n v="7506.1538461538503"/>
    <n v="1466.61538461538"/>
    <s v="Apartment"/>
    <n v="0"/>
    <n v="5163.2307692307704"/>
    <n v="0"/>
  </r>
  <r>
    <d v="2026-01-03T00:00:00"/>
    <x v="0"/>
    <s v="-"/>
    <x v="0"/>
    <s v="Variable"/>
    <x v="0"/>
    <n v="4975.4615384615399"/>
    <s v="Expense"/>
    <n v="-4975.4615384615399"/>
    <n v="7322.3076923076997"/>
    <n v="1447.23076923077"/>
    <s v="Groceries"/>
    <n v="0"/>
    <n v="4975.4615384615399"/>
    <n v="0"/>
  </r>
  <r>
    <d v="2026-01-04T00:00:00"/>
    <x v="0"/>
    <s v="Freelance"/>
    <x v="0"/>
    <s v="-"/>
    <x v="0"/>
    <n v="4787.6923076923104"/>
    <s v="Income"/>
    <n v="4787.6923076923104"/>
    <n v="7138.4615384615399"/>
    <n v="1427.8461538461499"/>
    <s v="Logo Design"/>
    <n v="4787.6923076923104"/>
    <n v="0"/>
    <n v="1"/>
  </r>
  <r>
    <d v="2026-01-05T00:00:00"/>
    <x v="0"/>
    <s v="-"/>
    <x v="0"/>
    <s v="Fixed"/>
    <x v="0"/>
    <n v="4599.9230769230799"/>
    <s v="Expense"/>
    <n v="-4599.9230769230799"/>
    <n v="6954.6153846153902"/>
    <n v="1408.4615384615399"/>
    <s v="Phone EMI"/>
    <n v="0"/>
    <n v="4599.9230769230799"/>
    <n v="0"/>
  </r>
  <r>
    <d v="2026-01-07T00:00:00"/>
    <x v="0"/>
    <s v="-"/>
    <x v="0"/>
    <s v="Variable"/>
    <x v="0"/>
    <n v="4412.1538461538503"/>
    <s v="Expense"/>
    <n v="-4412.1538461538503"/>
    <n v="6770.7692307692296"/>
    <n v="1389.0769230769199"/>
    <s v="Petrol"/>
    <n v="0"/>
    <n v="4412.1538461538503"/>
    <n v="0"/>
  </r>
  <r>
    <d v="2026-01-08T00:00:00"/>
    <x v="0"/>
    <s v="-"/>
    <x v="0"/>
    <s v="Variable"/>
    <x v="0"/>
    <n v="4224.3846153846098"/>
    <s v="Expense"/>
    <n v="-4224.3846153846098"/>
    <n v="6586.9230769230799"/>
    <n v="1369.6923076923099"/>
    <s v="Dinner Out"/>
    <n v="0"/>
    <n v="4224.3846153846098"/>
    <n v="0"/>
  </r>
  <r>
    <d v="2026-01-10T00:00:00"/>
    <x v="0"/>
    <s v="-"/>
    <x v="0"/>
    <s v="Variable"/>
    <x v="0"/>
    <n v="4036.6153846153802"/>
    <s v="Expense"/>
    <n v="-4036.6153846153802"/>
    <n v="6403.0769230769301"/>
    <n v="1350.3076923076901"/>
    <s v="New Shoes"/>
    <n v="0"/>
    <n v="4036.6153846153802"/>
    <n v="0"/>
  </r>
  <r>
    <d v="2026-01-12T00:00:00"/>
    <x v="0"/>
    <s v="-"/>
    <x v="0"/>
    <s v="Variable"/>
    <x v="0"/>
    <n v="3848.8461538461502"/>
    <s v="Expense"/>
    <n v="-3848.8461538461502"/>
    <n v="6219.2307692307704"/>
    <n v="1330.9230769230801"/>
    <s v="Movie"/>
    <n v="0"/>
    <n v="3848.8461538461502"/>
    <n v="0"/>
  </r>
  <r>
    <d v="2026-01-14T00:00:00"/>
    <x v="0"/>
    <s v="-"/>
    <x v="0"/>
    <s v="Variable"/>
    <x v="0"/>
    <n v="3661.0769230769201"/>
    <s v="Expense"/>
    <n v="-3661.0769230769201"/>
    <n v="6035.3846153846198"/>
    <n v="1311.5384615384601"/>
    <s v="Snacks"/>
    <n v="0"/>
    <n v="3661.0769230769201"/>
    <n v="0"/>
  </r>
  <r>
    <d v="2026-01-15T00:00:00"/>
    <x v="0"/>
    <s v="Business"/>
    <x v="0"/>
    <s v="-"/>
    <x v="0"/>
    <n v="3473.3076923076901"/>
    <s v="Income"/>
    <n v="3473.3076923076901"/>
    <n v="5851.5384615384701"/>
    <n v="1292.1538461538501"/>
    <s v="Side Sales"/>
    <n v="3473.3076923076901"/>
    <n v="0"/>
    <n v="1"/>
  </r>
  <r>
    <d v="2026-01-16T00:00:00"/>
    <x v="0"/>
    <s v="-"/>
    <x v="0"/>
    <s v="Variable"/>
    <x v="0"/>
    <n v="3285.5384615384601"/>
    <s v="Expense"/>
    <n v="-3285.5384615384601"/>
    <n v="5667.6923076923104"/>
    <n v="1272.76923076923"/>
    <s v="Uber/Ola"/>
    <n v="0"/>
    <n v="3285.5384615384601"/>
    <n v="0"/>
  </r>
  <r>
    <d v="2026-01-18T00:00:00"/>
    <x v="0"/>
    <s v="-"/>
    <x v="0"/>
    <s v="Variable"/>
    <x v="0"/>
    <n v="3097.76923076923"/>
    <s v="Expense"/>
    <n v="-3097.76923076923"/>
    <n v="5483.8461538461597"/>
    <n v="1253.38461538462"/>
    <s v="Pharmacy"/>
    <n v="0"/>
    <n v="3097.76923076923"/>
    <n v="0"/>
  </r>
  <r>
    <d v="2026-01-20T00:00:00"/>
    <x v="0"/>
    <s v="-"/>
    <x v="0"/>
    <s v="Variable"/>
    <x v="0"/>
    <n v="2910"/>
    <s v="Expense"/>
    <n v="-2910"/>
    <n v="5300"/>
    <n v="1234"/>
    <s v="Grocery Refill"/>
    <n v="0"/>
    <n v="2910"/>
    <n v="0"/>
  </r>
  <r>
    <d v="2026-01-22T00:00:00"/>
    <x v="0"/>
    <s v="-"/>
    <x v="0"/>
    <s v="Fixed"/>
    <x v="0"/>
    <n v="2722.23076923077"/>
    <s v="Expense"/>
    <n v="-2722.23076923077"/>
    <n v="5116.1538461538503"/>
    <n v="1214.61538461538"/>
    <s v="Electricity"/>
    <n v="0"/>
    <n v="2722.23076923077"/>
    <n v="0"/>
  </r>
  <r>
    <d v="2026-01-24T00:00:00"/>
    <x v="0"/>
    <s v="-"/>
    <x v="0"/>
    <s v="Variable"/>
    <x v="0"/>
    <n v="2534.4615384615399"/>
    <s v="Expense"/>
    <n v="-2534.4615384615399"/>
    <n v="4932.3076923076997"/>
    <n v="1195.23076923077"/>
    <s v="Gift"/>
    <n v="0"/>
    <n v="2534.4615384615399"/>
    <n v="0"/>
  </r>
  <r>
    <d v="2026-01-25T00:00:00"/>
    <x v="0"/>
    <s v="-"/>
    <x v="0"/>
    <s v="Variable"/>
    <x v="0"/>
    <n v="2346.6923076923099"/>
    <s v="Expense"/>
    <n v="-2346.6923076923099"/>
    <n v="4748.4615384615399"/>
    <n v="1175.8461538461499"/>
    <s v="Petrol"/>
    <n v="0"/>
    <n v="2346.6923076923099"/>
    <n v="0"/>
  </r>
  <r>
    <d v="2026-01-26T00:00:00"/>
    <x v="0"/>
    <s v="-"/>
    <x v="0"/>
    <s v="Variable"/>
    <x v="0"/>
    <n v="2158.9230769230799"/>
    <s v="Expense"/>
    <n v="-2158.9230769230799"/>
    <n v="4564.6153846153902"/>
    <n v="1156.4615384615399"/>
    <s v="Pizza"/>
    <n v="0"/>
    <n v="2158.9230769230799"/>
    <n v="0"/>
  </r>
  <r>
    <d v="2026-01-28T00:00:00"/>
    <x v="0"/>
    <s v="-"/>
    <x v="0"/>
    <s v="Variable"/>
    <x v="0"/>
    <n v="1971.1538461538501"/>
    <s v="Expense"/>
    <n v="-1971.1538461538501"/>
    <n v="4380.7692307692296"/>
    <n v="1137.0769230769199"/>
    <s v="Subscription"/>
    <n v="0"/>
    <n v="1971.1538461538501"/>
    <n v="0"/>
  </r>
  <r>
    <d v="2026-01-30T00:00:00"/>
    <x v="0"/>
    <s v="-"/>
    <x v="0"/>
    <s v="Fixed"/>
    <x v="0"/>
    <n v="1783.38461538461"/>
    <s v="Expense"/>
    <n v="-1783.38461538461"/>
    <n v="4196.9230769230799"/>
    <n v="1117.6923076923099"/>
    <s v="Investment"/>
    <n v="0"/>
    <n v="1783.38461538461"/>
    <n v="0"/>
  </r>
  <r>
    <d v="2026-02-01T00:00:00"/>
    <x v="1"/>
    <s v="Salary"/>
    <x v="0"/>
    <s v="-"/>
    <x v="0"/>
    <n v="1595.61538461538"/>
    <s v="Income"/>
    <n v="1595.61538461538"/>
    <n v="4013.0769230769301"/>
    <n v="1098.3076923076901"/>
    <s v="Monthly Pay"/>
    <n v="1595.61538461538"/>
    <n v="0"/>
    <n v="1"/>
  </r>
  <r>
    <d v="2026-02-02T00:00:00"/>
    <x v="1"/>
    <s v="-"/>
    <x v="0"/>
    <s v="Fixed"/>
    <x v="0"/>
    <n v="1407.8461538461499"/>
    <s v="Expense"/>
    <n v="-1407.8461538461499"/>
    <n v="3829.23076923077"/>
    <n v="1078.9230769230801"/>
    <s v="Apartment"/>
    <n v="0"/>
    <n v="1407.8461538461499"/>
    <n v="0"/>
  </r>
  <r>
    <d v="2026-02-04T00:00:00"/>
    <x v="1"/>
    <s v="-"/>
    <x v="0"/>
    <s v="Variable"/>
    <x v="0"/>
    <n v="1220.0769230769199"/>
    <s v="Expense"/>
    <n v="-1220.0769230769199"/>
    <n v="3645.3846153846198"/>
    <n v="1059.5384615384601"/>
    <s v="Groceries"/>
    <n v="0"/>
    <n v="1220.0769230769199"/>
    <n v="0"/>
  </r>
  <r>
    <d v="2026-02-06T00:00:00"/>
    <x v="1"/>
    <s v="Freelance"/>
    <x v="0"/>
    <s v="-"/>
    <x v="0"/>
    <n v="1032.3076923076901"/>
    <s v="Income"/>
    <n v="1032.3076923076901"/>
    <n v="3461.5384615384701"/>
    <n v="1040.1538461538501"/>
    <s v="Consultation"/>
    <n v="1032.3076923076901"/>
    <n v="0"/>
    <n v="1"/>
  </r>
  <r>
    <d v="2026-02-08T00:00:00"/>
    <x v="1"/>
    <s v="-"/>
    <x v="0"/>
    <s v="Variable"/>
    <x v="0"/>
    <n v="844.53846153845905"/>
    <s v="Expense"/>
    <n v="-844.53846153845905"/>
    <n v="3277.6923076922999"/>
    <n v="1020.76923076923"/>
    <s v="Fuel"/>
    <n v="0"/>
    <n v="844.53846153845905"/>
    <n v="0"/>
  </r>
  <r>
    <d v="2026-01-01T00:00:00"/>
    <x v="0"/>
    <s v="Salary"/>
    <x v="0"/>
    <s v="-"/>
    <x v="0"/>
    <n v="656.76923076922901"/>
    <s v="Income"/>
    <n v="656.76923076922901"/>
    <n v="3093.8461538461602"/>
    <n v="1001.38461538461"/>
    <s v="Monthly Pay"/>
    <n v="656.76923076922901"/>
    <n v="0"/>
    <n v="1"/>
  </r>
  <r>
    <d v="2026-01-02T00:00:00"/>
    <x v="0"/>
    <s v="-"/>
    <x v="0"/>
    <s v="Fixed"/>
    <x v="0"/>
    <n v="469"/>
    <s v="Expense"/>
    <n v="-469"/>
    <n v="2910"/>
    <n v="982"/>
    <s v="Apartment"/>
    <n v="0"/>
    <n v="469"/>
    <n v="0"/>
  </r>
  <r>
    <d v="2026-01-03T00:00:00"/>
    <x v="0"/>
    <s v="-"/>
    <x v="0"/>
    <s v="Variable"/>
    <x v="0"/>
    <n v="281.23076923077002"/>
    <s v="Expense"/>
    <n v="-281.23076923077002"/>
    <n v="2726.1538461538498"/>
    <n v="962.61538461538498"/>
    <s v="Groceries"/>
    <n v="0"/>
    <n v="281.23076923077002"/>
    <n v="0"/>
  </r>
  <r>
    <d v="2026-01-04T00:00:00"/>
    <x v="0"/>
    <s v="Freelance"/>
    <x v="0"/>
    <s v="-"/>
    <x v="0"/>
    <n v="93.461538461539007"/>
    <s v="Income"/>
    <n v="93.461538461539007"/>
    <n v="2542.3076923077001"/>
    <n v="943.23076923076496"/>
    <s v="Logo Design"/>
    <n v="93.461538461539007"/>
    <n v="0"/>
    <n v="1"/>
  </r>
  <r>
    <d v="2026-01-05T00:00:00"/>
    <x v="0"/>
    <s v="-"/>
    <x v="0"/>
    <s v="Fixed"/>
    <x v="0"/>
    <n v="-94.307692307729695"/>
    <s v="Expense"/>
    <n v="94.307692307729695"/>
    <n v="2358.4615384615399"/>
    <n v="923.84615384615404"/>
    <s v="Phone EMI"/>
    <n v="0"/>
    <n v="-94.307692307729695"/>
    <n v="0"/>
  </r>
  <r>
    <d v="2026-01-07T00:00:00"/>
    <x v="0"/>
    <s v="-"/>
    <x v="0"/>
    <s v="Variable"/>
    <x v="0"/>
    <n v="-282.076923076931"/>
    <s v="Expense"/>
    <n v="282.076923076931"/>
    <n v="2174.6153846153502"/>
    <n v="904.46153846153402"/>
    <s v="Petrol"/>
    <n v="0"/>
    <n v="-282.076923076931"/>
    <n v="0"/>
  </r>
  <r>
    <d v="2026-01-08T00:00:00"/>
    <x v="0"/>
    <s v="-"/>
    <x v="0"/>
    <s v="Variable"/>
    <x v="0"/>
    <n v="-469.84615384613102"/>
    <s v="Expense"/>
    <n v="469.84615384613102"/>
    <n v="1990.76923076925"/>
    <n v="885.076923076924"/>
    <s v="Dinner Out"/>
    <n v="0"/>
    <n v="-469.84615384613102"/>
    <n v="0"/>
  </r>
  <r>
    <d v="2026-01-10T00:00:00"/>
    <x v="0"/>
    <s v="-"/>
    <x v="0"/>
    <s v="Variable"/>
    <x v="0"/>
    <n v="-657.61538461543"/>
    <s v="Expense"/>
    <n v="657.61538461543"/>
    <n v="1806.9230769230501"/>
    <n v="865.69230769230398"/>
    <s v="New Shoes"/>
    <n v="0"/>
    <n v="-657.61538461543"/>
    <n v="0"/>
  </r>
  <r>
    <d v="2026-01-12T00:00:00"/>
    <x v="0"/>
    <s v="-"/>
    <x v="0"/>
    <s v="Variable"/>
    <x v="0"/>
    <n v="-845.38461538463002"/>
    <s v="Expense"/>
    <n v="845.38461538463002"/>
    <n v="1623.0769230769499"/>
    <n v="846.30769230769397"/>
    <s v="Movie"/>
    <n v="0"/>
    <n v="-845.38461538463002"/>
    <n v="0"/>
  </r>
  <r>
    <d v="2026-01-14T00:00:00"/>
    <x v="0"/>
    <s v="-"/>
    <x v="0"/>
    <s v="Variable"/>
    <x v="0"/>
    <n v="-1033.15384615383"/>
    <s v="Expense"/>
    <n v="1033.15384615383"/>
    <n v="1439.23076923075"/>
    <n v="826.92307692307497"/>
    <s v="Snacks"/>
    <n v="0"/>
    <n v="-1033.15384615383"/>
    <n v="0"/>
  </r>
  <r>
    <d v="2026-01-15T00:00:00"/>
    <x v="0"/>
    <s v="Business"/>
    <x v="0"/>
    <s v="-"/>
    <x v="0"/>
    <n v="-1220.9230769230301"/>
    <s v="Income"/>
    <n v="-1220.9230769230301"/>
    <n v="1255.38461538465"/>
    <n v="807.53846153846496"/>
    <s v="Side Sales"/>
    <n v="-1220.9230769230301"/>
    <n v="0"/>
    <n v="1"/>
  </r>
  <r>
    <d v="2026-01-16T00:00:00"/>
    <x v="0"/>
    <s v="-"/>
    <x v="0"/>
    <s v="Variable"/>
    <x v="0"/>
    <n v="-1408.6923076923299"/>
    <s v="Expense"/>
    <n v="1408.6923076923299"/>
    <n v="1071.5384615384501"/>
    <n v="788.15384615384505"/>
    <s v="Uber/Ola"/>
    <n v="0"/>
    <n v="-1408.6923076923299"/>
    <n v="0"/>
  </r>
  <r>
    <d v="2026-01-18T00:00:00"/>
    <x v="0"/>
    <s v="-"/>
    <x v="0"/>
    <s v="Variable"/>
    <x v="0"/>
    <n v="-1596.4615384615299"/>
    <s v="Expense"/>
    <n v="1596.4615384615299"/>
    <n v="887.69230769234503"/>
    <n v="768.76923076923504"/>
    <s v="Pharmacy"/>
    <n v="0"/>
    <n v="-1596.4615384615299"/>
    <n v="0"/>
  </r>
  <r>
    <d v="2026-01-20T00:00:00"/>
    <x v="0"/>
    <s v="-"/>
    <x v="0"/>
    <s v="Variable"/>
    <x v="0"/>
    <n v="-1784.2307692307299"/>
    <s v="Expense"/>
    <n v="1784.2307692307299"/>
    <n v="703.84615384614494"/>
    <n v="749.38461538461502"/>
    <s v="Grocery Refill"/>
    <n v="0"/>
    <n v="-1784.2307692307299"/>
    <n v="0"/>
  </r>
  <r>
    <d v="2026-01-22T00:00:00"/>
    <x v="0"/>
    <s v="-"/>
    <x v="0"/>
    <s v="Fixed"/>
    <x v="0"/>
    <n v="-1972.00000000003"/>
    <s v="Expense"/>
    <n v="1972.00000000003"/>
    <n v="520.00000000004502"/>
    <n v="730.000000000005"/>
    <s v="Electricity"/>
    <n v="0"/>
    <n v="-1972.00000000003"/>
    <n v="0"/>
  </r>
  <r>
    <d v="2026-01-24T00:00:00"/>
    <x v="0"/>
    <s v="-"/>
    <x v="0"/>
    <s v="Variable"/>
    <x v="0"/>
    <n v="-2159.76923076923"/>
    <s v="Expense"/>
    <n v="2159.76923076923"/>
    <n v="336.15384615384602"/>
    <n v="710.61538461538498"/>
    <s v="Gift"/>
    <n v="0"/>
    <n v="-2159.76923076923"/>
    <n v="0"/>
  </r>
  <r>
    <d v="2026-01-25T00:00:00"/>
    <x v="0"/>
    <s v="-"/>
    <x v="0"/>
    <s v="Variable"/>
    <x v="0"/>
    <n v="-2347.5384615384301"/>
    <s v="Expense"/>
    <n v="2347.5384615384301"/>
    <n v="152.30769230764599"/>
    <n v="691.23076923076496"/>
    <s v="Petrol"/>
    <n v="0"/>
    <n v="-2347.5384615384301"/>
    <n v="0"/>
  </r>
  <r>
    <d v="2026-01-26T00:00:00"/>
    <x v="0"/>
    <s v="-"/>
    <x v="0"/>
    <s v="Variable"/>
    <x v="0"/>
    <n v="-2535.3076923077301"/>
    <s v="Expense"/>
    <n v="2535.3076923077301"/>
    <n v="-31.538461538453699"/>
    <n v="671.84615384615404"/>
    <s v="Pizza"/>
    <n v="0"/>
    <n v="-2535.3076923077301"/>
    <n v="0"/>
  </r>
  <r>
    <d v="2026-01-28T00:00:00"/>
    <x v="0"/>
    <s v="-"/>
    <x v="0"/>
    <s v="Variable"/>
    <x v="0"/>
    <n v="-2723.0769230769301"/>
    <s v="Expense"/>
    <n v="2723.0769230769301"/>
    <n v="-215.38461538465299"/>
    <n v="652.46153846153402"/>
    <s v="Subscription"/>
    <n v="0"/>
    <n v="-2723.0769230769301"/>
    <n v="0"/>
  </r>
  <r>
    <d v="2026-01-30T00:00:00"/>
    <x v="0"/>
    <s v="-"/>
    <x v="0"/>
    <s v="Fixed"/>
    <x v="0"/>
    <n v="-2910.8461538461302"/>
    <s v="Expense"/>
    <n v="2910.8461538461302"/>
    <n v="-399.23076923075502"/>
    <n v="633.076923076924"/>
    <s v="Investment"/>
    <n v="0"/>
    <n v="-2910.8461538461302"/>
    <n v="0"/>
  </r>
  <r>
    <d v="2026-02-01T00:00:00"/>
    <x v="1"/>
    <s v="Salary"/>
    <x v="0"/>
    <s v="-"/>
    <x v="0"/>
    <n v="-3098.6153846154298"/>
    <s v="Income"/>
    <n v="-3098.6153846154298"/>
    <n v="-583.07692307695504"/>
    <n v="613.69230769230398"/>
    <s v="Monthly Pay"/>
    <n v="-3098.6153846154298"/>
    <n v="0"/>
    <n v="1"/>
  </r>
  <r>
    <d v="2026-02-02T00:00:00"/>
    <x v="1"/>
    <s v="-"/>
    <x v="0"/>
    <s v="Fixed"/>
    <x v="0"/>
    <n v="-3286.3846153846298"/>
    <s v="Expense"/>
    <n v="3286.3846153846298"/>
    <n v="-766.92307692305405"/>
    <n v="594.30769230769397"/>
    <s v="Apartment"/>
    <n v="0"/>
    <n v="-3286.3846153846298"/>
    <n v="0"/>
  </r>
  <r>
    <d v="2026-02-04T00:00:00"/>
    <x v="1"/>
    <s v="-"/>
    <x v="0"/>
    <s v="Variable"/>
    <x v="0"/>
    <n v="-3474.1538461538298"/>
    <s v="Expense"/>
    <n v="3474.1538461538298"/>
    <n v="-950.76923076925402"/>
    <n v="574.92307692307497"/>
    <s v="Groceries"/>
    <n v="0"/>
    <n v="-3474.1538461538298"/>
    <n v="0"/>
  </r>
  <r>
    <d v="2026-02-06T00:00:00"/>
    <x v="1"/>
    <s v="Freelance"/>
    <x v="0"/>
    <s v="-"/>
    <x v="0"/>
    <n v="-3661.9230769230298"/>
    <s v="Income"/>
    <n v="-3661.9230769230298"/>
    <n v="-1134.61538461535"/>
    <n v="555.53846153846496"/>
    <s v="Consultation"/>
    <n v="-3661.9230769230298"/>
    <n v="0"/>
    <n v="1"/>
  </r>
  <r>
    <d v="2026-02-08T00:00:00"/>
    <x v="1"/>
    <s v="-"/>
    <x v="0"/>
    <s v="Variable"/>
    <x v="0"/>
    <n v="-3849.6923076923299"/>
    <s v="Expense"/>
    <n v="3849.6923076923299"/>
    <n v="-1318.4615384615499"/>
    <n v="536.15384615384505"/>
    <s v="Fuel"/>
    <n v="0"/>
    <n v="-3849.6923076923299"/>
    <n v="0"/>
  </r>
  <r>
    <d v="2026-01-01T00:00:00"/>
    <x v="0"/>
    <s v="Salary"/>
    <x v="0"/>
    <s v="-"/>
    <x v="0"/>
    <n v="-4037.4615384615299"/>
    <s v="Income"/>
    <n v="-4037.4615384615299"/>
    <n v="-1502.3076923076601"/>
    <n v="516.76923076923504"/>
    <s v="Monthly Pay"/>
    <n v="-4037.4615384615299"/>
    <n v="0"/>
    <n v="1"/>
  </r>
  <r>
    <d v="2026-01-02T00:00:00"/>
    <x v="0"/>
    <s v="-"/>
    <x v="0"/>
    <s v="Fixed"/>
    <x v="0"/>
    <n v="-4225.2307692307304"/>
    <s v="Expense"/>
    <n v="4225.2307692307304"/>
    <n v="-1686.1538461538501"/>
    <n v="497.38461538461502"/>
    <s v="Apartment"/>
    <n v="0"/>
    <n v="-4225.2307692307304"/>
    <n v="0"/>
  </r>
  <r>
    <d v="2026-01-03T00:00:00"/>
    <x v="0"/>
    <s v="-"/>
    <x v="0"/>
    <s v="Variable"/>
    <x v="0"/>
    <n v="-4413.00000000003"/>
    <s v="Expense"/>
    <n v="4413.00000000003"/>
    <n v="-1869.99999999995"/>
    <n v="478.000000000005"/>
    <s v="Groceries"/>
    <n v="0"/>
    <n v="-4413.00000000003"/>
    <n v="0"/>
  </r>
  <r>
    <d v="2026-01-04T00:00:00"/>
    <x v="0"/>
    <s v="Freelance"/>
    <x v="0"/>
    <s v="-"/>
    <x v="0"/>
    <n v="-4600.7692307692296"/>
    <s v="Income"/>
    <n v="-4600.7692307692296"/>
    <n v="-2053.8461538461502"/>
    <n v="458.61538461538498"/>
    <s v="Logo Design"/>
    <n v="-4600.7692307692296"/>
    <n v="0"/>
    <n v="1"/>
  </r>
  <r>
    <d v="2026-01-05T00:00:00"/>
    <x v="0"/>
    <s v="-"/>
    <x v="0"/>
    <s v="Fixed"/>
    <x v="0"/>
    <n v="-4788.5384615384301"/>
    <s v="Expense"/>
    <n v="4788.5384615384301"/>
    <n v="-2237.6923076923499"/>
    <n v="439.23076923076502"/>
    <s v="Phone EMI"/>
    <n v="0"/>
    <n v="-4788.5384615384301"/>
    <n v="0"/>
  </r>
  <r>
    <d v="2026-01-07T00:00:00"/>
    <x v="0"/>
    <s v="-"/>
    <x v="0"/>
    <s v="Variable"/>
    <x v="0"/>
    <n v="-4976.3076923077297"/>
    <s v="Expense"/>
    <n v="4976.3076923077297"/>
    <n v="-2421.5384615384501"/>
    <n v="419.84615384615398"/>
    <s v="Petrol"/>
    <n v="0"/>
    <n v="-4976.3076923077297"/>
    <n v="0"/>
  </r>
  <r>
    <d v="2026-01-08T00:00:00"/>
    <x v="0"/>
    <s v="-"/>
    <x v="0"/>
    <s v="Variable"/>
    <x v="0"/>
    <n v="-5164.0769230769301"/>
    <s v="Expense"/>
    <n v="5164.0769230769301"/>
    <n v="-2605.3846153846498"/>
    <n v="400.46153846153402"/>
    <s v="Dinner Out"/>
    <n v="0"/>
    <n v="-5164.0769230769301"/>
    <n v="0"/>
  </r>
  <r>
    <d v="2026-01-10T00:00:00"/>
    <x v="0"/>
    <s v="-"/>
    <x v="0"/>
    <s v="Variable"/>
    <x v="0"/>
    <n v="-5351.8461538461297"/>
    <s v="Expense"/>
    <n v="5351.8461538461297"/>
    <n v="-2789.23076923075"/>
    <n v="381.076923076924"/>
    <s v="New Shoes"/>
    <n v="0"/>
    <n v="-5351.8461538461297"/>
    <n v="0"/>
  </r>
  <r>
    <d v="2026-01-12T00:00:00"/>
    <x v="0"/>
    <s v="-"/>
    <x v="0"/>
    <s v="Variable"/>
    <x v="0"/>
    <n v="-5539.6153846154302"/>
    <s v="Expense"/>
    <n v="5539.6153846154302"/>
    <n v="-2973.0769230769502"/>
    <n v="361.69230769230398"/>
    <s v="Movie"/>
    <n v="0"/>
    <n v="-5539.6153846154302"/>
    <n v="0"/>
  </r>
  <r>
    <d v="2026-01-14T00:00:00"/>
    <x v="0"/>
    <s v="-"/>
    <x v="0"/>
    <s v="Variable"/>
    <x v="0"/>
    <n v="-5727.3846153846298"/>
    <s v="Expense"/>
    <n v="5727.3846153846298"/>
    <n v="-3156.9230769230498"/>
    <n v="342.30769230769403"/>
    <s v="Snacks"/>
    <n v="0"/>
    <n v="-5727.3846153846298"/>
    <n v="0"/>
  </r>
  <r>
    <d v="2026-01-15T00:00:00"/>
    <x v="0"/>
    <s v="Business"/>
    <x v="0"/>
    <s v="-"/>
    <x v="0"/>
    <n v="-5915.1538461538303"/>
    <s v="Income"/>
    <n v="-5915.1538461538303"/>
    <n v="-3340.76923076925"/>
    <n v="322.92307692307497"/>
    <s v="Side Sales"/>
    <n v="-5915.1538461538303"/>
    <n v="0"/>
    <n v="1"/>
  </r>
  <r>
    <d v="2026-01-16T00:00:00"/>
    <x v="0"/>
    <s v="-"/>
    <x v="0"/>
    <s v="Variable"/>
    <x v="0"/>
    <n v="-6102.9230769230298"/>
    <s v="Expense"/>
    <n v="6102.9230769230298"/>
    <n v="-3524.6153846153502"/>
    <n v="303.53846153846501"/>
    <s v="Uber/Ola"/>
    <n v="0"/>
    <n v="-6102.9230769230298"/>
    <n v="0"/>
  </r>
  <r>
    <d v="2026-01-18T00:00:00"/>
    <x v="0"/>
    <s v="-"/>
    <x v="1"/>
    <s v="Variable"/>
    <x v="0"/>
    <n v="-6290.6923076923304"/>
    <s v="Expense"/>
    <n v="6290.6923076923304"/>
    <n v="-3708.4615384615499"/>
    <n v="284.153846153845"/>
    <s v="Pharmacy"/>
    <n v="0"/>
    <n v="-6290.6923076923304"/>
    <n v="0"/>
  </r>
  <r>
    <d v="2026-01-20T00:00:00"/>
    <x v="0"/>
    <s v="-"/>
    <x v="0"/>
    <s v="Variable"/>
    <x v="0"/>
    <n v="-6478.4615384615299"/>
    <s v="Expense"/>
    <n v="6478.4615384615299"/>
    <n v="-3892.3076923076601"/>
    <n v="264.76923076923498"/>
    <s v="Grocery Refill"/>
    <n v="0"/>
    <n v="-6478.4615384615299"/>
    <n v="0"/>
  </r>
  <r>
    <d v="2026-01-22T00:00:00"/>
    <x v="0"/>
    <s v="-"/>
    <x v="0"/>
    <s v="Fixed"/>
    <x v="0"/>
    <n v="-6666.2307692307304"/>
    <s v="Expense"/>
    <n v="6666.2307692307304"/>
    <n v="-4076.1538461538498"/>
    <n v="245.38461538461499"/>
    <s v="Electricity"/>
    <n v="0"/>
    <n v="-6666.2307692307304"/>
    <n v="0"/>
  </r>
  <r>
    <d v="2026-01-24T00:00:00"/>
    <x v="0"/>
    <s v="-"/>
    <x v="0"/>
    <s v="Variable"/>
    <x v="0"/>
    <n v="-6854.00000000003"/>
    <s v="Expense"/>
    <n v="6854.00000000003"/>
    <n v="-4259.99999999995"/>
    <n v="225.999999999995"/>
    <s v="Gift"/>
    <n v="0"/>
    <n v="-6854.00000000003"/>
    <n v="0"/>
  </r>
  <r>
    <d v="2026-01-25T00:00:00"/>
    <x v="0"/>
    <s v="-"/>
    <x v="0"/>
    <s v="Variable"/>
    <x v="0"/>
    <n v="-7041.7692307692296"/>
    <s v="Expense"/>
    <n v="7041.7692307692296"/>
    <n v="-4443.8461538461497"/>
    <n v="206.61538461538501"/>
    <s v="Petrol"/>
    <n v="0"/>
    <n v="-7041.7692307692296"/>
    <n v="0"/>
  </r>
  <r>
    <d v="2026-01-26T00:00:00"/>
    <x v="0"/>
    <s v="-"/>
    <x v="0"/>
    <s v="Variable"/>
    <x v="0"/>
    <n v="-7229.5384615384301"/>
    <s v="Expense"/>
    <n v="7229.5384615384301"/>
    <n v="-4627.6923076923504"/>
    <n v="187.23076923076499"/>
    <s v="Pizza"/>
    <n v="0"/>
    <n v="-7229.5384615384301"/>
    <n v="0"/>
  </r>
  <r>
    <d v="2026-01-28T00:00:00"/>
    <x v="0"/>
    <s v="-"/>
    <x v="0"/>
    <s v="Variable"/>
    <x v="0"/>
    <n v="-7417.3076923077297"/>
    <s v="Expense"/>
    <n v="7417.3076923077297"/>
    <n v="-4811.5384615384601"/>
    <n v="167.84615384615401"/>
    <s v="Subscription"/>
    <n v="0"/>
    <n v="-7417.3076923077297"/>
    <n v="0"/>
  </r>
  <r>
    <d v="2026-01-30T00:00:00"/>
    <x v="0"/>
    <s v="-"/>
    <x v="0"/>
    <s v="Fixed"/>
    <x v="0"/>
    <n v="-7605.0769230769301"/>
    <s v="Expense"/>
    <n v="7605.0769230769301"/>
    <n v="-4995.3846153846598"/>
    <n v="148.46153846153399"/>
    <s v="Investment"/>
    <n v="0"/>
    <n v="-7605.0769230769301"/>
    <n v="0"/>
  </r>
  <r>
    <d v="2026-02-01T00:00:00"/>
    <x v="1"/>
    <s v="Salary"/>
    <x v="0"/>
    <s v="-"/>
    <x v="0"/>
    <n v="-7792.8461538461297"/>
    <s v="Income"/>
    <n v="-7792.8461538461297"/>
    <n v="-5179.2307692307504"/>
    <n v="129.076923076924"/>
    <s v="Monthly Pay"/>
    <n v="-7792.8461538461297"/>
    <n v="0"/>
    <n v="1"/>
  </r>
  <r>
    <d v="2026-02-02T00:00:00"/>
    <x v="1"/>
    <s v="-"/>
    <x v="0"/>
    <s v="Fixed"/>
    <x v="0"/>
    <n v="-7980.6153846154302"/>
    <s v="Expense"/>
    <n v="7980.6153846154302"/>
    <n v="-5363.0769230769502"/>
    <n v="109.692307692304"/>
    <s v="Apartment"/>
    <n v="0"/>
    <n v="-7980.6153846154302"/>
    <n v="0"/>
  </r>
  <r>
    <d v="2026-02-04T00:00:00"/>
    <x v="1"/>
    <s v="-"/>
    <x v="0"/>
    <s v="Variable"/>
    <x v="0"/>
    <n v="-8168.3846153846298"/>
    <s v="Expense"/>
    <n v="8168.3846153846298"/>
    <n v="-5546.9230769230498"/>
    <n v="90.307692307694396"/>
    <s v="Groceries"/>
    <n v="0"/>
    <n v="-8168.3846153846298"/>
    <n v="0"/>
  </r>
  <r>
    <d v="2026-02-06T00:00:00"/>
    <x v="1"/>
    <s v="Freelance"/>
    <x v="0"/>
    <s v="-"/>
    <x v="0"/>
    <n v="-8356.1538461538294"/>
    <s v="Income"/>
    <n v="-8356.1538461538294"/>
    <n v="-5730.7692307692496"/>
    <n v="70.923076923074603"/>
    <s v="Consultation"/>
    <n v="-8356.1538461538294"/>
    <n v="0"/>
    <n v="1"/>
  </r>
  <r>
    <d v="2026-02-08T00:00:00"/>
    <x v="1"/>
    <s v="-"/>
    <x v="0"/>
    <s v="Variable"/>
    <x v="0"/>
    <n v="-8543.9230769231308"/>
    <s v="Expense"/>
    <n v="8543.9230769231308"/>
    <n v="-5914.6153846153602"/>
    <n v="51.538461538464603"/>
    <s v="Fuel"/>
    <n v="0"/>
    <n v="-8543.9230769231308"/>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610D92-B002-4B95-B063-5666D955216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ayment Methods">
  <location ref="A13:B15" firstHeaderRow="1" firstDataRow="1" firstDataCol="1"/>
  <pivotFields count="15">
    <pivotField numFmtId="16" showAll="0"/>
    <pivotField showAll="0">
      <items count="3">
        <item x="0"/>
        <item x="1"/>
        <item t="default"/>
      </items>
    </pivotField>
    <pivotField showAll="0"/>
    <pivotField showAll="0">
      <items count="4">
        <item x="0"/>
        <item x="1"/>
        <item h="1" m="1" x="2"/>
        <item t="default"/>
      </items>
    </pivotField>
    <pivotField showAll="0"/>
    <pivotField axis="axisRow" showAll="0">
      <items count="3">
        <item m="1" x="1"/>
        <item x="0"/>
        <item t="default"/>
      </items>
    </pivotField>
    <pivotField dataField="1" showAll="0"/>
    <pivotField showAll="0"/>
    <pivotField showAll="0"/>
    <pivotField showAll="0"/>
    <pivotField showAll="0"/>
    <pivotField showAll="0"/>
    <pivotField showAll="0"/>
    <pivotField showAll="0"/>
    <pivotField numFmtId="10" showAll="0"/>
  </pivotFields>
  <rowFields count="1">
    <field x="5"/>
  </rowFields>
  <rowItems count="2">
    <i>
      <x v="1"/>
    </i>
    <i t="grand">
      <x/>
    </i>
  </rowItems>
  <colItems count="1">
    <i/>
  </colItems>
  <dataFields count="1">
    <dataField name="Sum of Amount"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09E250-06A1-43E2-A220-13AEAF38872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nthly Trend">
  <location ref="A8:B11" firstHeaderRow="1" firstDataRow="1" firstDataCol="1"/>
  <pivotFields count="15">
    <pivotField numFmtId="16" showAll="0"/>
    <pivotField axis="axisRow" showAll="0">
      <items count="3">
        <item x="0"/>
        <item x="1"/>
        <item t="default"/>
      </items>
    </pivotField>
    <pivotField showAll="0"/>
    <pivotField showAll="0">
      <items count="4">
        <item x="0"/>
        <item x="1"/>
        <item h="1" m="1" x="2"/>
        <item t="default"/>
      </items>
    </pivotField>
    <pivotField showAll="0"/>
    <pivotField showAll="0"/>
    <pivotField dataField="1" showAll="0"/>
    <pivotField showAll="0"/>
    <pivotField showAll="0"/>
    <pivotField showAll="0"/>
    <pivotField showAll="0"/>
    <pivotField showAll="0"/>
    <pivotField showAll="0"/>
    <pivotField showAll="0"/>
    <pivotField numFmtId="10" showAll="0"/>
  </pivotFields>
  <rowFields count="1">
    <field x="1"/>
  </rowFields>
  <rowItems count="3">
    <i>
      <x/>
    </i>
    <i>
      <x v="1"/>
    </i>
    <i t="grand">
      <x/>
    </i>
  </rowItems>
  <colItems count="1">
    <i/>
  </colItems>
  <dataFields count="1">
    <dataField name="Sum of Amount"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20FB6B-DC6F-4DFE-BE34-5063F89D495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Analysis">
  <location ref="A3:B6" firstHeaderRow="1" firstDataRow="1" firstDataCol="1"/>
  <pivotFields count="15">
    <pivotField numFmtId="16" showAll="0"/>
    <pivotField showAll="0">
      <items count="3">
        <item x="0"/>
        <item x="1"/>
        <item t="default"/>
      </items>
    </pivotField>
    <pivotField showAll="0"/>
    <pivotField axis="axisRow" showAll="0">
      <items count="4">
        <item h="1" m="1" x="2"/>
        <item x="0"/>
        <item x="1"/>
        <item t="default"/>
      </items>
    </pivotField>
    <pivotField showAll="0"/>
    <pivotField showAll="0"/>
    <pivotField dataField="1" showAll="0"/>
    <pivotField showAll="0"/>
    <pivotField showAll="0"/>
    <pivotField showAll="0"/>
    <pivotField showAll="0"/>
    <pivotField showAll="0"/>
    <pivotField showAll="0"/>
    <pivotField showAll="0"/>
    <pivotField numFmtId="10" showAll="0"/>
  </pivotFields>
  <rowFields count="1">
    <field x="3"/>
  </rowFields>
  <rowItems count="3">
    <i>
      <x v="1"/>
    </i>
    <i>
      <x v="2"/>
    </i>
    <i t="grand">
      <x/>
    </i>
  </rowItems>
  <colItems count="1">
    <i/>
  </colItems>
  <dataFields count="1">
    <dataField name="Sum of Amount" fld="6" baseField="0" baseItem="0"/>
  </dataFields>
  <chartFormats count="4">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3" count="1" selected="0">
            <x v="0"/>
          </reference>
        </references>
      </pivotArea>
    </chartFormat>
    <chartFormat chart="3" format="5">
      <pivotArea type="data" outline="0" fieldPosition="0">
        <references count="2">
          <reference field="4294967294" count="1" selected="0">
            <x v="0"/>
          </reference>
          <reference field="3" count="1" selected="0">
            <x v="1"/>
          </reference>
        </references>
      </pivotArea>
    </chartFormat>
    <chartFormat chart="3" format="6">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7111F56-B693-452F-8BD4-A777579BDF34}" sourceName="Month">
  <pivotTables>
    <pivotTable tabId="5" name="PivotTable3"/>
    <pivotTable tabId="5" name="PivotTable1"/>
    <pivotTable tabId="5" name="PivotTable2"/>
  </pivotTables>
  <data>
    <tabular pivotCacheId="14150345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nse_Category" xr10:uid="{D2D94973-1DCD-4BDD-9E78-3BAD59C63583}" sourceName="Expense Category">
  <pivotTables>
    <pivotTable tabId="5" name="PivotTable3"/>
    <pivotTable tabId="5" name="PivotTable1"/>
    <pivotTable tabId="5" name="PivotTable2"/>
  </pivotTables>
  <data>
    <tabular pivotCacheId="141503450">
      <items count="3">
        <i x="0" s="1"/>
        <i x="1" s="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30037839-2D13-4145-94C0-3000B27FA5E4}" cache="Slicer_Month" caption="Month" rowHeight="234950"/>
  <slicer name="Expense Category" xr10:uid="{F51F34D5-DA17-45E4-8FD1-BB4057D808B4}" cache="Slicer_Expense_Category" caption="Expense 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C50914-37D9-4771-ABE3-451EE098D86C}" name="FinanceData" displayName="FinanceData" ref="A1:O101" totalsRowShown="0" headerRowDxfId="19" dataDxfId="17" headerRowBorderDxfId="18" tableBorderDxfId="16" totalsRowBorderDxfId="15">
  <autoFilter ref="A1:O101" xr:uid="{66C50914-37D9-4771-ABE3-451EE098D86C}"/>
  <tableColumns count="15">
    <tableColumn id="1" xr3:uid="{9130750B-28BF-4D06-93D8-DDB4FD801A1F}" name="Date" dataDxfId="14"/>
    <tableColumn id="2" xr3:uid="{C46ACEA3-9DF0-4F42-95AA-B1A761766E7D}" name="Month" dataDxfId="13">
      <calculatedColumnFormula>TEXT(FinanceData[[#This Row],[Date]],"mmm")</calculatedColumnFormula>
    </tableColumn>
    <tableColumn id="3" xr3:uid="{967ACE02-15C0-42A8-A492-6ACA25E99771}" name="Income Source" dataDxfId="12"/>
    <tableColumn id="4" xr3:uid="{EC0D4989-6E08-4F81-991A-AEDD2426568D}" name="Expense Category" dataDxfId="11"/>
    <tableColumn id="5" xr3:uid="{7AA96E5B-7EBD-45B9-B301-4873139BD49E}" name="Expense Type" dataDxfId="10"/>
    <tableColumn id="6" xr3:uid="{CA5FAD39-4BF3-4369-AF61-C01CA8BAA562}" name="Payment Mode" dataDxfId="9"/>
    <tableColumn id="7" xr3:uid="{9DE69A79-6CEC-43F4-8C9F-E3597DE2B244}" name="Amount" dataDxfId="8"/>
    <tableColumn id="8" xr3:uid="{AB709CE1-CFB9-4EE7-8B19-AF77FE47DACA}" name="Indicator" dataDxfId="7"/>
    <tableColumn id="9" xr3:uid="{15DB2D7E-3714-4CA9-9BB2-5441D1B294AB}" name="Savings" dataDxfId="6">
      <calculatedColumnFormula>FinanceData[[#This Row],[Total Income]]-FinanceData[[#This Row],[Total Expense]]</calculatedColumnFormula>
    </tableColumn>
    <tableColumn id="10" xr3:uid="{F90257F4-5038-4581-B6AE-8CC9B3480E35}" name="Budget Allocated" dataDxfId="5"/>
    <tableColumn id="11" xr3:uid="{FEB2BB5C-DE8C-4892-A91B-C2776D24A464}" name="Budget Remaining" dataDxfId="4"/>
    <tableColumn id="12" xr3:uid="{82C4D298-3E03-482A-8326-5816882B06F4}" name="Notes" dataDxfId="3"/>
    <tableColumn id="13" xr3:uid="{5BB259E6-572E-410B-92C5-6D254DA5B29D}" name="Total Income" dataDxfId="2">
      <calculatedColumnFormula>SUMIFS(FinanceData[[#This Row],[Amount]],FinanceData[[#This Row],[Indicator]],"Income")</calculatedColumnFormula>
    </tableColumn>
    <tableColumn id="14" xr3:uid="{D8361455-727C-4393-B9A0-F923785A6AAB}" name="Total Expense" dataDxfId="1">
      <calculatedColumnFormula>SUMIFS(FinanceData[[#This Row],[Amount]],FinanceData[[#This Row],[Indicator]],"Expense")</calculatedColumnFormula>
    </tableColumn>
    <tableColumn id="15" xr3:uid="{57B751F6-0676-432D-B40B-DA7B3147188D}" name="Net Savings" dataDxfId="0">
      <calculatedColumnFormula>IFERROR(FinanceData[[#This Row],[Savings]]/FinanceData[[#This Row],[Total Income]],0)</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DAE08-0DFE-431A-BE61-D1BE126926F2}">
  <dimension ref="A1:L101"/>
  <sheetViews>
    <sheetView topLeftCell="A31" workbookViewId="0">
      <selection sqref="A1:L101"/>
    </sheetView>
  </sheetViews>
  <sheetFormatPr defaultRowHeight="14.4" x14ac:dyDescent="0.3"/>
  <cols>
    <col min="1" max="1" width="10.77734375" customWidth="1"/>
    <col min="3" max="3" width="15.77734375" bestFit="1" customWidth="1"/>
    <col min="4" max="4" width="19.21875" bestFit="1" customWidth="1"/>
    <col min="5" max="5" width="15.109375" bestFit="1" customWidth="1"/>
    <col min="6" max="6" width="15.6640625" bestFit="1" customWidth="1"/>
    <col min="7" max="7" width="10.5546875" customWidth="1"/>
    <col min="8" max="8" width="11.33203125" customWidth="1"/>
    <col min="9" max="9" width="8.77734375" bestFit="1" customWidth="1"/>
    <col min="10" max="10" width="17.88671875" bestFit="1" customWidth="1"/>
    <col min="11" max="11" width="19.21875" bestFit="1" customWidth="1"/>
    <col min="12" max="12" width="13.21875" bestFit="1" customWidth="1"/>
  </cols>
  <sheetData>
    <row r="1" spans="1:12" ht="15" thickBot="1" x14ac:dyDescent="0.35">
      <c r="A1" s="1" t="s">
        <v>0</v>
      </c>
      <c r="B1" s="1" t="s">
        <v>1</v>
      </c>
      <c r="C1" s="1" t="s">
        <v>2</v>
      </c>
      <c r="D1" s="1" t="s">
        <v>3</v>
      </c>
      <c r="E1" s="1" t="s">
        <v>4</v>
      </c>
      <c r="F1" s="1" t="s">
        <v>5</v>
      </c>
      <c r="G1" s="1" t="s">
        <v>6</v>
      </c>
      <c r="H1" s="1" t="s">
        <v>7</v>
      </c>
      <c r="I1" s="1" t="s">
        <v>8</v>
      </c>
      <c r="J1" s="1" t="s">
        <v>9</v>
      </c>
      <c r="K1" s="1" t="s">
        <v>10</v>
      </c>
      <c r="L1" s="2" t="s">
        <v>11</v>
      </c>
    </row>
    <row r="2" spans="1:12" ht="15" thickBot="1" x14ac:dyDescent="0.35">
      <c r="A2" s="3">
        <v>46023</v>
      </c>
      <c r="B2" s="4" t="s">
        <v>12</v>
      </c>
      <c r="C2" s="4" t="s">
        <v>13</v>
      </c>
      <c r="D2" s="4" t="s">
        <v>14</v>
      </c>
      <c r="E2" s="4" t="s">
        <v>14</v>
      </c>
      <c r="F2" s="4" t="s">
        <v>15</v>
      </c>
      <c r="G2" s="4">
        <v>55000</v>
      </c>
      <c r="H2" s="4" t="s">
        <v>16</v>
      </c>
      <c r="I2" s="4">
        <v>0</v>
      </c>
      <c r="J2" s="4">
        <v>55000</v>
      </c>
      <c r="K2" s="4">
        <v>0</v>
      </c>
      <c r="L2" s="5" t="s">
        <v>17</v>
      </c>
    </row>
    <row r="3" spans="1:12" ht="15" thickBot="1" x14ac:dyDescent="0.35">
      <c r="A3" s="3">
        <v>46024</v>
      </c>
      <c r="B3" s="4" t="s">
        <v>12</v>
      </c>
      <c r="C3" s="4" t="s">
        <v>14</v>
      </c>
      <c r="D3" s="4" t="s">
        <v>18</v>
      </c>
      <c r="E3" s="4" t="s">
        <v>19</v>
      </c>
      <c r="F3" s="4" t="s">
        <v>15</v>
      </c>
      <c r="G3" s="4">
        <v>12000</v>
      </c>
      <c r="H3" s="4" t="s">
        <v>20</v>
      </c>
      <c r="I3" s="4">
        <v>0</v>
      </c>
      <c r="J3" s="4">
        <v>12000</v>
      </c>
      <c r="K3" s="4">
        <v>0</v>
      </c>
      <c r="L3" s="5" t="s">
        <v>21</v>
      </c>
    </row>
    <row r="4" spans="1:12" ht="15" thickBot="1" x14ac:dyDescent="0.35">
      <c r="A4" s="3">
        <v>46025</v>
      </c>
      <c r="B4" s="4" t="s">
        <v>12</v>
      </c>
      <c r="C4" s="4" t="s">
        <v>14</v>
      </c>
      <c r="D4" s="4" t="s">
        <v>22</v>
      </c>
      <c r="E4" s="4" t="s">
        <v>23</v>
      </c>
      <c r="F4" s="4" t="s">
        <v>24</v>
      </c>
      <c r="G4" s="4">
        <v>450</v>
      </c>
      <c r="H4" s="4" t="s">
        <v>20</v>
      </c>
      <c r="I4" s="4">
        <v>0</v>
      </c>
      <c r="J4" s="4">
        <v>7000</v>
      </c>
      <c r="K4" s="4">
        <v>6550</v>
      </c>
      <c r="L4" s="5" t="s">
        <v>25</v>
      </c>
    </row>
    <row r="5" spans="1:12" ht="15" thickBot="1" x14ac:dyDescent="0.35">
      <c r="A5" s="3">
        <v>46026</v>
      </c>
      <c r="B5" s="4" t="s">
        <v>12</v>
      </c>
      <c r="C5" s="4" t="s">
        <v>26</v>
      </c>
      <c r="D5" s="4" t="s">
        <v>14</v>
      </c>
      <c r="E5" s="4" t="s">
        <v>14</v>
      </c>
      <c r="F5" s="4" t="s">
        <v>24</v>
      </c>
      <c r="G5" s="4">
        <v>8000</v>
      </c>
      <c r="H5" s="4" t="s">
        <v>16</v>
      </c>
      <c r="I5" s="4">
        <v>0</v>
      </c>
      <c r="J5" s="4">
        <v>8000</v>
      </c>
      <c r="K5" s="4">
        <v>0</v>
      </c>
      <c r="L5" s="5" t="s">
        <v>27</v>
      </c>
    </row>
    <row r="6" spans="1:12" ht="15" thickBot="1" x14ac:dyDescent="0.35">
      <c r="A6" s="3">
        <v>46027</v>
      </c>
      <c r="B6" s="4" t="s">
        <v>12</v>
      </c>
      <c r="C6" s="4" t="s">
        <v>14</v>
      </c>
      <c r="D6" s="4" t="s">
        <v>28</v>
      </c>
      <c r="E6" s="4" t="s">
        <v>19</v>
      </c>
      <c r="F6" s="4" t="s">
        <v>15</v>
      </c>
      <c r="G6" s="4">
        <v>3500</v>
      </c>
      <c r="H6" s="4" t="s">
        <v>20</v>
      </c>
      <c r="I6" s="4">
        <v>0</v>
      </c>
      <c r="J6" s="4">
        <v>3500</v>
      </c>
      <c r="K6" s="4">
        <v>0</v>
      </c>
      <c r="L6" s="5" t="s">
        <v>29</v>
      </c>
    </row>
    <row r="7" spans="1:12" ht="15" thickBot="1" x14ac:dyDescent="0.35">
      <c r="A7" s="3">
        <v>46029</v>
      </c>
      <c r="B7" s="4" t="s">
        <v>12</v>
      </c>
      <c r="C7" s="4" t="s">
        <v>14</v>
      </c>
      <c r="D7" s="4" t="s">
        <v>30</v>
      </c>
      <c r="E7" s="4" t="s">
        <v>23</v>
      </c>
      <c r="F7" s="4" t="s">
        <v>31</v>
      </c>
      <c r="G7" s="4">
        <v>1200</v>
      </c>
      <c r="H7" s="4" t="s">
        <v>20</v>
      </c>
      <c r="I7" s="4">
        <v>0</v>
      </c>
      <c r="J7" s="4">
        <v>4000</v>
      </c>
      <c r="K7" s="4">
        <v>2800</v>
      </c>
      <c r="L7" s="5" t="s">
        <v>32</v>
      </c>
    </row>
    <row r="8" spans="1:12" ht="15" thickBot="1" x14ac:dyDescent="0.35">
      <c r="A8" s="3">
        <v>46030</v>
      </c>
      <c r="B8" s="4" t="s">
        <v>12</v>
      </c>
      <c r="C8" s="4" t="s">
        <v>14</v>
      </c>
      <c r="D8" s="4" t="s">
        <v>22</v>
      </c>
      <c r="E8" s="4" t="s">
        <v>23</v>
      </c>
      <c r="F8" s="4" t="s">
        <v>24</v>
      </c>
      <c r="G8" s="4">
        <v>850</v>
      </c>
      <c r="H8" s="4" t="s">
        <v>20</v>
      </c>
      <c r="I8" s="4">
        <v>0</v>
      </c>
      <c r="J8" s="4">
        <v>7000</v>
      </c>
      <c r="K8" s="4">
        <v>5700</v>
      </c>
      <c r="L8" s="5" t="s">
        <v>33</v>
      </c>
    </row>
    <row r="9" spans="1:12" ht="15" thickBot="1" x14ac:dyDescent="0.35">
      <c r="A9" s="3">
        <v>46032</v>
      </c>
      <c r="B9" s="4" t="s">
        <v>12</v>
      </c>
      <c r="C9" s="4" t="s">
        <v>14</v>
      </c>
      <c r="D9" s="4" t="s">
        <v>34</v>
      </c>
      <c r="E9" s="4" t="s">
        <v>23</v>
      </c>
      <c r="F9" s="4" t="s">
        <v>35</v>
      </c>
      <c r="G9" s="4">
        <v>4200</v>
      </c>
      <c r="H9" s="4" t="s">
        <v>20</v>
      </c>
      <c r="I9" s="4">
        <v>0</v>
      </c>
      <c r="J9" s="4">
        <v>5000</v>
      </c>
      <c r="K9" s="4">
        <v>800</v>
      </c>
      <c r="L9" s="5" t="s">
        <v>36</v>
      </c>
    </row>
    <row r="10" spans="1:12" ht="15" thickBot="1" x14ac:dyDescent="0.35">
      <c r="A10" s="3">
        <v>46034</v>
      </c>
      <c r="B10" s="4" t="s">
        <v>12</v>
      </c>
      <c r="C10" s="4" t="s">
        <v>14</v>
      </c>
      <c r="D10" s="4" t="s">
        <v>37</v>
      </c>
      <c r="E10" s="4" t="s">
        <v>23</v>
      </c>
      <c r="F10" s="4" t="s">
        <v>24</v>
      </c>
      <c r="G10" s="4">
        <v>600</v>
      </c>
      <c r="H10" s="4" t="s">
        <v>20</v>
      </c>
      <c r="I10" s="4">
        <v>0</v>
      </c>
      <c r="J10" s="4">
        <v>2000</v>
      </c>
      <c r="K10" s="4">
        <v>1400</v>
      </c>
      <c r="L10" s="5" t="s">
        <v>38</v>
      </c>
    </row>
    <row r="11" spans="1:12" ht="15" thickBot="1" x14ac:dyDescent="0.35">
      <c r="A11" s="3">
        <v>46036</v>
      </c>
      <c r="B11" s="4" t="s">
        <v>12</v>
      </c>
      <c r="C11" s="4" t="s">
        <v>14</v>
      </c>
      <c r="D11" s="4" t="s">
        <v>22</v>
      </c>
      <c r="E11" s="4" t="s">
        <v>23</v>
      </c>
      <c r="F11" s="4" t="s">
        <v>24</v>
      </c>
      <c r="G11" s="4">
        <v>300</v>
      </c>
      <c r="H11" s="4" t="s">
        <v>20</v>
      </c>
      <c r="I11" s="4">
        <v>0</v>
      </c>
      <c r="J11" s="4">
        <v>7000</v>
      </c>
      <c r="K11" s="4">
        <v>5400</v>
      </c>
      <c r="L11" s="5" t="s">
        <v>39</v>
      </c>
    </row>
    <row r="12" spans="1:12" ht="15" thickBot="1" x14ac:dyDescent="0.35">
      <c r="A12" s="3">
        <v>46037</v>
      </c>
      <c r="B12" s="4" t="s">
        <v>12</v>
      </c>
      <c r="C12" s="4" t="s">
        <v>40</v>
      </c>
      <c r="D12" s="4" t="s">
        <v>14</v>
      </c>
      <c r="E12" s="4" t="s">
        <v>14</v>
      </c>
      <c r="F12" s="4" t="s">
        <v>15</v>
      </c>
      <c r="G12" s="4">
        <v>15000</v>
      </c>
      <c r="H12" s="4" t="s">
        <v>16</v>
      </c>
      <c r="I12" s="4">
        <v>0</v>
      </c>
      <c r="J12" s="4">
        <v>15000</v>
      </c>
      <c r="K12" s="4">
        <v>0</v>
      </c>
      <c r="L12" s="5" t="s">
        <v>41</v>
      </c>
    </row>
    <row r="13" spans="1:12" ht="15" thickBot="1" x14ac:dyDescent="0.35">
      <c r="A13" s="3">
        <v>46038</v>
      </c>
      <c r="B13" s="4" t="s">
        <v>12</v>
      </c>
      <c r="C13" s="4" t="s">
        <v>14</v>
      </c>
      <c r="D13" s="4" t="s">
        <v>30</v>
      </c>
      <c r="E13" s="4" t="s">
        <v>23</v>
      </c>
      <c r="F13" s="4" t="s">
        <v>24</v>
      </c>
      <c r="G13" s="4">
        <v>500</v>
      </c>
      <c r="H13" s="4" t="s">
        <v>20</v>
      </c>
      <c r="I13" s="4">
        <v>0</v>
      </c>
      <c r="J13" s="4">
        <v>4000</v>
      </c>
      <c r="K13" s="4">
        <v>2300</v>
      </c>
      <c r="L13" s="5" t="s">
        <v>42</v>
      </c>
    </row>
    <row r="14" spans="1:12" ht="15" thickBot="1" x14ac:dyDescent="0.35">
      <c r="A14" s="3">
        <v>46040</v>
      </c>
      <c r="B14" s="4" t="s">
        <v>12</v>
      </c>
      <c r="C14" s="4" t="s">
        <v>14</v>
      </c>
      <c r="D14" s="4" t="s">
        <v>43</v>
      </c>
      <c r="E14" s="4" t="s">
        <v>23</v>
      </c>
      <c r="F14" s="4" t="s">
        <v>31</v>
      </c>
      <c r="G14" s="4">
        <v>1500</v>
      </c>
      <c r="H14" s="4" t="s">
        <v>20</v>
      </c>
      <c r="I14" s="4">
        <v>0</v>
      </c>
      <c r="J14" s="4">
        <v>2000</v>
      </c>
      <c r="K14" s="4">
        <v>500</v>
      </c>
      <c r="L14" s="5" t="s">
        <v>44</v>
      </c>
    </row>
    <row r="15" spans="1:12" ht="15" thickBot="1" x14ac:dyDescent="0.35">
      <c r="A15" s="3">
        <v>46042</v>
      </c>
      <c r="B15" s="4" t="s">
        <v>12</v>
      </c>
      <c r="C15" s="4" t="s">
        <v>14</v>
      </c>
      <c r="D15" s="4" t="s">
        <v>22</v>
      </c>
      <c r="E15" s="4" t="s">
        <v>23</v>
      </c>
      <c r="F15" s="4" t="s">
        <v>24</v>
      </c>
      <c r="G15" s="4">
        <v>1100</v>
      </c>
      <c r="H15" s="4" t="s">
        <v>20</v>
      </c>
      <c r="I15" s="4">
        <v>0</v>
      </c>
      <c r="J15" s="4">
        <v>7000</v>
      </c>
      <c r="K15" s="4">
        <v>4300</v>
      </c>
      <c r="L15" s="5" t="s">
        <v>45</v>
      </c>
    </row>
    <row r="16" spans="1:12" ht="15" thickBot="1" x14ac:dyDescent="0.35">
      <c r="A16" s="3">
        <v>46044</v>
      </c>
      <c r="B16" s="4" t="s">
        <v>12</v>
      </c>
      <c r="C16" s="4" t="s">
        <v>14</v>
      </c>
      <c r="D16" s="4" t="s">
        <v>46</v>
      </c>
      <c r="E16" s="4" t="s">
        <v>19</v>
      </c>
      <c r="F16" s="4" t="s">
        <v>15</v>
      </c>
      <c r="G16" s="4">
        <v>2200</v>
      </c>
      <c r="H16" s="4" t="s">
        <v>20</v>
      </c>
      <c r="I16" s="4">
        <v>0</v>
      </c>
      <c r="J16" s="4">
        <v>2500</v>
      </c>
      <c r="K16" s="4">
        <v>300</v>
      </c>
      <c r="L16" s="5" t="s">
        <v>47</v>
      </c>
    </row>
    <row r="17" spans="1:12" ht="15" thickBot="1" x14ac:dyDescent="0.35">
      <c r="A17" s="3">
        <v>46046</v>
      </c>
      <c r="B17" s="4" t="s">
        <v>12</v>
      </c>
      <c r="C17" s="4" t="s">
        <v>14</v>
      </c>
      <c r="D17" s="4" t="s">
        <v>34</v>
      </c>
      <c r="E17" s="4" t="s">
        <v>23</v>
      </c>
      <c r="F17" s="4" t="s">
        <v>35</v>
      </c>
      <c r="G17" s="4">
        <v>1800</v>
      </c>
      <c r="H17" s="4" t="s">
        <v>20</v>
      </c>
      <c r="I17" s="4">
        <v>0</v>
      </c>
      <c r="J17" s="4">
        <v>5000</v>
      </c>
      <c r="K17" s="4">
        <v>-1000</v>
      </c>
      <c r="L17" s="5" t="s">
        <v>48</v>
      </c>
    </row>
    <row r="18" spans="1:12" ht="15" thickBot="1" x14ac:dyDescent="0.35">
      <c r="A18" s="3">
        <v>46047</v>
      </c>
      <c r="B18" s="4" t="s">
        <v>12</v>
      </c>
      <c r="C18" s="4" t="s">
        <v>14</v>
      </c>
      <c r="D18" s="4" t="s">
        <v>30</v>
      </c>
      <c r="E18" s="4" t="s">
        <v>23</v>
      </c>
      <c r="F18" s="4" t="s">
        <v>31</v>
      </c>
      <c r="G18" s="4">
        <v>900</v>
      </c>
      <c r="H18" s="4" t="s">
        <v>20</v>
      </c>
      <c r="I18" s="4">
        <v>0</v>
      </c>
      <c r="J18" s="4">
        <v>4000</v>
      </c>
      <c r="K18" s="4">
        <v>1400</v>
      </c>
      <c r="L18" s="5" t="s">
        <v>32</v>
      </c>
    </row>
    <row r="19" spans="1:12" ht="15" thickBot="1" x14ac:dyDescent="0.35">
      <c r="A19" s="3">
        <v>46048</v>
      </c>
      <c r="B19" s="4" t="s">
        <v>12</v>
      </c>
      <c r="C19" s="4" t="s">
        <v>14</v>
      </c>
      <c r="D19" s="4" t="s">
        <v>22</v>
      </c>
      <c r="E19" s="4" t="s">
        <v>23</v>
      </c>
      <c r="F19" s="4" t="s">
        <v>24</v>
      </c>
      <c r="G19" s="4">
        <v>400</v>
      </c>
      <c r="H19" s="4" t="s">
        <v>20</v>
      </c>
      <c r="I19" s="4">
        <v>0</v>
      </c>
      <c r="J19" s="4">
        <v>7000</v>
      </c>
      <c r="K19" s="4">
        <v>3900</v>
      </c>
      <c r="L19" s="5" t="s">
        <v>49</v>
      </c>
    </row>
    <row r="20" spans="1:12" ht="15" thickBot="1" x14ac:dyDescent="0.35">
      <c r="A20" s="3">
        <v>46050</v>
      </c>
      <c r="B20" s="4" t="s">
        <v>12</v>
      </c>
      <c r="C20" s="4" t="s">
        <v>14</v>
      </c>
      <c r="D20" s="4" t="s">
        <v>37</v>
      </c>
      <c r="E20" s="4" t="s">
        <v>23</v>
      </c>
      <c r="F20" s="4" t="s">
        <v>24</v>
      </c>
      <c r="G20" s="4">
        <v>1200</v>
      </c>
      <c r="H20" s="4" t="s">
        <v>20</v>
      </c>
      <c r="I20" s="4">
        <v>0</v>
      </c>
      <c r="J20" s="4">
        <v>2000</v>
      </c>
      <c r="K20" s="4">
        <v>200</v>
      </c>
      <c r="L20" s="5" t="s">
        <v>50</v>
      </c>
    </row>
    <row r="21" spans="1:12" ht="15" thickBot="1" x14ac:dyDescent="0.35">
      <c r="A21" s="3">
        <v>46052</v>
      </c>
      <c r="B21" s="4" t="s">
        <v>12</v>
      </c>
      <c r="C21" s="4" t="s">
        <v>14</v>
      </c>
      <c r="D21" s="4" t="s">
        <v>51</v>
      </c>
      <c r="E21" s="4" t="s">
        <v>19</v>
      </c>
      <c r="F21" s="4" t="s">
        <v>15</v>
      </c>
      <c r="G21" s="4">
        <v>10000</v>
      </c>
      <c r="H21" s="4" t="s">
        <v>20</v>
      </c>
      <c r="I21" s="4">
        <v>0</v>
      </c>
      <c r="J21" s="4">
        <v>10000</v>
      </c>
      <c r="K21" s="4">
        <v>0</v>
      </c>
      <c r="L21" s="5" t="s">
        <v>52</v>
      </c>
    </row>
    <row r="22" spans="1:12" ht="15" thickBot="1" x14ac:dyDescent="0.35">
      <c r="A22" s="3">
        <v>46054</v>
      </c>
      <c r="B22" s="4" t="s">
        <v>53</v>
      </c>
      <c r="C22" s="4" t="s">
        <v>13</v>
      </c>
      <c r="D22" s="4" t="s">
        <v>14</v>
      </c>
      <c r="E22" s="4" t="s">
        <v>14</v>
      </c>
      <c r="F22" s="4" t="s">
        <v>15</v>
      </c>
      <c r="G22" s="4">
        <v>55000</v>
      </c>
      <c r="H22" s="4" t="s">
        <v>16</v>
      </c>
      <c r="I22" s="4">
        <v>0</v>
      </c>
      <c r="J22" s="4">
        <v>55000</v>
      </c>
      <c r="K22" s="4">
        <v>0</v>
      </c>
      <c r="L22" s="5" t="s">
        <v>17</v>
      </c>
    </row>
    <row r="23" spans="1:12" ht="15" thickBot="1" x14ac:dyDescent="0.35">
      <c r="A23" s="3">
        <v>46055</v>
      </c>
      <c r="B23" s="4" t="s">
        <v>53</v>
      </c>
      <c r="C23" s="4" t="s">
        <v>14</v>
      </c>
      <c r="D23" s="4" t="s">
        <v>18</v>
      </c>
      <c r="E23" s="4" t="s">
        <v>19</v>
      </c>
      <c r="F23" s="4" t="s">
        <v>15</v>
      </c>
      <c r="G23" s="4">
        <v>12000</v>
      </c>
      <c r="H23" s="4" t="s">
        <v>20</v>
      </c>
      <c r="I23" s="4">
        <v>0</v>
      </c>
      <c r="J23" s="4">
        <v>12000</v>
      </c>
      <c r="K23" s="4">
        <v>0</v>
      </c>
      <c r="L23" s="5" t="s">
        <v>21</v>
      </c>
    </row>
    <row r="24" spans="1:12" ht="15" thickBot="1" x14ac:dyDescent="0.35">
      <c r="A24" s="3">
        <v>46057</v>
      </c>
      <c r="B24" s="4" t="s">
        <v>53</v>
      </c>
      <c r="C24" s="4" t="s">
        <v>14</v>
      </c>
      <c r="D24" s="4" t="s">
        <v>22</v>
      </c>
      <c r="E24" s="4" t="s">
        <v>23</v>
      </c>
      <c r="F24" s="4" t="s">
        <v>24</v>
      </c>
      <c r="G24" s="4">
        <v>600</v>
      </c>
      <c r="H24" s="4" t="s">
        <v>20</v>
      </c>
      <c r="I24" s="4">
        <v>0</v>
      </c>
      <c r="J24" s="4">
        <v>7000</v>
      </c>
      <c r="K24" s="4">
        <v>6400</v>
      </c>
      <c r="L24" s="5" t="s">
        <v>25</v>
      </c>
    </row>
    <row r="25" spans="1:12" ht="15" thickBot="1" x14ac:dyDescent="0.35">
      <c r="A25" s="3">
        <v>46059</v>
      </c>
      <c r="B25" s="4" t="s">
        <v>53</v>
      </c>
      <c r="C25" s="4" t="s">
        <v>26</v>
      </c>
      <c r="D25" s="4" t="s">
        <v>14</v>
      </c>
      <c r="E25" s="4" t="s">
        <v>14</v>
      </c>
      <c r="F25" s="4" t="s">
        <v>24</v>
      </c>
      <c r="G25" s="4">
        <v>5000</v>
      </c>
      <c r="H25" s="4" t="s">
        <v>16</v>
      </c>
      <c r="I25" s="4">
        <v>0</v>
      </c>
      <c r="J25" s="4">
        <v>5000</v>
      </c>
      <c r="K25" s="4">
        <v>0</v>
      </c>
      <c r="L25" s="5" t="s">
        <v>54</v>
      </c>
    </row>
    <row r="26" spans="1:12" ht="15" thickBot="1" x14ac:dyDescent="0.35">
      <c r="A26" s="3">
        <v>46061</v>
      </c>
      <c r="B26" s="4" t="s">
        <v>53</v>
      </c>
      <c r="C26" s="4" t="s">
        <v>14</v>
      </c>
      <c r="D26" s="4" t="s">
        <v>30</v>
      </c>
      <c r="E26" s="4" t="s">
        <v>23</v>
      </c>
      <c r="F26" s="4" t="s">
        <v>31</v>
      </c>
      <c r="G26" s="4">
        <v>1500</v>
      </c>
      <c r="H26" s="4" t="s">
        <v>20</v>
      </c>
      <c r="I26" s="4">
        <v>0</v>
      </c>
      <c r="J26" s="4">
        <v>4000</v>
      </c>
      <c r="K26" s="4">
        <v>2500</v>
      </c>
      <c r="L26" s="5" t="s">
        <v>55</v>
      </c>
    </row>
    <row r="27" spans="1:12" ht="15" thickBot="1" x14ac:dyDescent="0.35">
      <c r="A27" s="3">
        <v>46023</v>
      </c>
      <c r="B27" s="4" t="s">
        <v>12</v>
      </c>
      <c r="C27" s="4" t="s">
        <v>13</v>
      </c>
      <c r="D27" s="4" t="s">
        <v>14</v>
      </c>
      <c r="E27" s="4" t="s">
        <v>14</v>
      </c>
      <c r="F27" s="4" t="s">
        <v>15</v>
      </c>
      <c r="G27" s="4">
        <v>5351</v>
      </c>
      <c r="H27" s="4" t="s">
        <v>16</v>
      </c>
      <c r="I27" s="4">
        <v>0</v>
      </c>
      <c r="J27" s="4">
        <v>7690</v>
      </c>
      <c r="K27" s="4">
        <v>1486</v>
      </c>
      <c r="L27" s="5" t="s">
        <v>17</v>
      </c>
    </row>
    <row r="28" spans="1:12" ht="15" thickBot="1" x14ac:dyDescent="0.35">
      <c r="A28" s="3">
        <v>46024</v>
      </c>
      <c r="B28" s="4" t="s">
        <v>12</v>
      </c>
      <c r="C28" s="4" t="s">
        <v>14</v>
      </c>
      <c r="D28" s="4" t="s">
        <v>18</v>
      </c>
      <c r="E28" s="4" t="s">
        <v>19</v>
      </c>
      <c r="F28" s="4" t="s">
        <v>15</v>
      </c>
      <c r="G28" s="4">
        <v>5163.2307692307704</v>
      </c>
      <c r="H28" s="4" t="s">
        <v>20</v>
      </c>
      <c r="I28" s="4">
        <v>0</v>
      </c>
      <c r="J28" s="4">
        <v>7506.1538461538503</v>
      </c>
      <c r="K28" s="4">
        <v>1466.61538461538</v>
      </c>
      <c r="L28" s="5" t="s">
        <v>21</v>
      </c>
    </row>
    <row r="29" spans="1:12" ht="15" thickBot="1" x14ac:dyDescent="0.35">
      <c r="A29" s="3">
        <v>46025</v>
      </c>
      <c r="B29" s="4" t="s">
        <v>12</v>
      </c>
      <c r="C29" s="4" t="s">
        <v>14</v>
      </c>
      <c r="D29" s="4" t="s">
        <v>22</v>
      </c>
      <c r="E29" s="4" t="s">
        <v>23</v>
      </c>
      <c r="F29" s="4" t="s">
        <v>24</v>
      </c>
      <c r="G29" s="4">
        <v>4975.4615384615399</v>
      </c>
      <c r="H29" s="4" t="s">
        <v>20</v>
      </c>
      <c r="I29" s="4">
        <v>0</v>
      </c>
      <c r="J29" s="4">
        <v>7322.3076923076997</v>
      </c>
      <c r="K29" s="4">
        <v>1447.23076923077</v>
      </c>
      <c r="L29" s="5" t="s">
        <v>25</v>
      </c>
    </row>
    <row r="30" spans="1:12" ht="15" thickBot="1" x14ac:dyDescent="0.35">
      <c r="A30" s="3">
        <v>46026</v>
      </c>
      <c r="B30" s="4" t="s">
        <v>12</v>
      </c>
      <c r="C30" s="4" t="s">
        <v>26</v>
      </c>
      <c r="D30" s="4" t="s">
        <v>14</v>
      </c>
      <c r="E30" s="4" t="s">
        <v>14</v>
      </c>
      <c r="F30" s="4" t="s">
        <v>24</v>
      </c>
      <c r="G30" s="4">
        <v>4787.6923076923104</v>
      </c>
      <c r="H30" s="4" t="s">
        <v>16</v>
      </c>
      <c r="I30" s="4">
        <v>0</v>
      </c>
      <c r="J30" s="4">
        <v>7138.4615384615399</v>
      </c>
      <c r="K30" s="4">
        <v>1427.8461538461499</v>
      </c>
      <c r="L30" s="5" t="s">
        <v>27</v>
      </c>
    </row>
    <row r="31" spans="1:12" ht="15" thickBot="1" x14ac:dyDescent="0.35">
      <c r="A31" s="3">
        <v>46027</v>
      </c>
      <c r="B31" s="4" t="s">
        <v>12</v>
      </c>
      <c r="C31" s="4" t="s">
        <v>14</v>
      </c>
      <c r="D31" s="4" t="s">
        <v>28</v>
      </c>
      <c r="E31" s="4" t="s">
        <v>19</v>
      </c>
      <c r="F31" s="4" t="s">
        <v>15</v>
      </c>
      <c r="G31" s="4">
        <v>4599.9230769230799</v>
      </c>
      <c r="H31" s="4" t="s">
        <v>20</v>
      </c>
      <c r="I31" s="4">
        <v>0</v>
      </c>
      <c r="J31" s="4">
        <v>6954.6153846153902</v>
      </c>
      <c r="K31" s="4">
        <v>1408.4615384615399</v>
      </c>
      <c r="L31" s="5" t="s">
        <v>29</v>
      </c>
    </row>
    <row r="32" spans="1:12" ht="15" thickBot="1" x14ac:dyDescent="0.35">
      <c r="A32" s="3">
        <v>46029</v>
      </c>
      <c r="B32" s="4" t="s">
        <v>12</v>
      </c>
      <c r="C32" s="4" t="s">
        <v>14</v>
      </c>
      <c r="D32" s="4" t="s">
        <v>30</v>
      </c>
      <c r="E32" s="4" t="s">
        <v>23</v>
      </c>
      <c r="F32" s="4" t="s">
        <v>31</v>
      </c>
      <c r="G32" s="4">
        <v>4412.1538461538503</v>
      </c>
      <c r="H32" s="4" t="s">
        <v>20</v>
      </c>
      <c r="I32" s="4">
        <v>0</v>
      </c>
      <c r="J32" s="4">
        <v>6770.7692307692296</v>
      </c>
      <c r="K32" s="4">
        <v>1389.0769230769199</v>
      </c>
      <c r="L32" s="5" t="s">
        <v>32</v>
      </c>
    </row>
    <row r="33" spans="1:12" ht="15" thickBot="1" x14ac:dyDescent="0.35">
      <c r="A33" s="3">
        <v>46030</v>
      </c>
      <c r="B33" s="4" t="s">
        <v>12</v>
      </c>
      <c r="C33" s="4" t="s">
        <v>14</v>
      </c>
      <c r="D33" s="4" t="s">
        <v>22</v>
      </c>
      <c r="E33" s="4" t="s">
        <v>23</v>
      </c>
      <c r="F33" s="4" t="s">
        <v>24</v>
      </c>
      <c r="G33" s="4">
        <v>4224.3846153846098</v>
      </c>
      <c r="H33" s="4" t="s">
        <v>20</v>
      </c>
      <c r="I33" s="4">
        <v>0</v>
      </c>
      <c r="J33" s="4">
        <v>6586.9230769230799</v>
      </c>
      <c r="K33" s="4">
        <v>1369.6923076923099</v>
      </c>
      <c r="L33" s="5" t="s">
        <v>33</v>
      </c>
    </row>
    <row r="34" spans="1:12" ht="15" thickBot="1" x14ac:dyDescent="0.35">
      <c r="A34" s="3">
        <v>46032</v>
      </c>
      <c r="B34" s="4" t="s">
        <v>12</v>
      </c>
      <c r="C34" s="4" t="s">
        <v>14</v>
      </c>
      <c r="D34" s="4" t="s">
        <v>34</v>
      </c>
      <c r="E34" s="4" t="s">
        <v>23</v>
      </c>
      <c r="F34" s="4" t="s">
        <v>35</v>
      </c>
      <c r="G34" s="4">
        <v>4036.6153846153802</v>
      </c>
      <c r="H34" s="4" t="s">
        <v>20</v>
      </c>
      <c r="I34" s="4">
        <v>0</v>
      </c>
      <c r="J34" s="4">
        <v>6403.0769230769301</v>
      </c>
      <c r="K34" s="4">
        <v>1350.3076923076901</v>
      </c>
      <c r="L34" s="5" t="s">
        <v>36</v>
      </c>
    </row>
    <row r="35" spans="1:12" ht="15" thickBot="1" x14ac:dyDescent="0.35">
      <c r="A35" s="3">
        <v>46034</v>
      </c>
      <c r="B35" s="4" t="s">
        <v>12</v>
      </c>
      <c r="C35" s="4" t="s">
        <v>14</v>
      </c>
      <c r="D35" s="4" t="s">
        <v>37</v>
      </c>
      <c r="E35" s="4" t="s">
        <v>23</v>
      </c>
      <c r="F35" s="4" t="s">
        <v>24</v>
      </c>
      <c r="G35" s="4">
        <v>3848.8461538461502</v>
      </c>
      <c r="H35" s="4" t="s">
        <v>20</v>
      </c>
      <c r="I35" s="4">
        <v>0</v>
      </c>
      <c r="J35" s="4">
        <v>6219.2307692307704</v>
      </c>
      <c r="K35" s="4">
        <v>1330.9230769230801</v>
      </c>
      <c r="L35" s="5" t="s">
        <v>38</v>
      </c>
    </row>
    <row r="36" spans="1:12" ht="15" thickBot="1" x14ac:dyDescent="0.35">
      <c r="A36" s="3">
        <v>46036</v>
      </c>
      <c r="B36" s="4" t="s">
        <v>12</v>
      </c>
      <c r="C36" s="4" t="s">
        <v>14</v>
      </c>
      <c r="D36" s="4" t="s">
        <v>22</v>
      </c>
      <c r="E36" s="4" t="s">
        <v>23</v>
      </c>
      <c r="F36" s="4" t="s">
        <v>24</v>
      </c>
      <c r="G36" s="4">
        <v>3661.0769230769201</v>
      </c>
      <c r="H36" s="4" t="s">
        <v>20</v>
      </c>
      <c r="I36" s="4">
        <v>0</v>
      </c>
      <c r="J36" s="4">
        <v>6035.3846153846198</v>
      </c>
      <c r="K36" s="4">
        <v>1311.5384615384601</v>
      </c>
      <c r="L36" s="5" t="s">
        <v>39</v>
      </c>
    </row>
    <row r="37" spans="1:12" ht="15" thickBot="1" x14ac:dyDescent="0.35">
      <c r="A37" s="3">
        <v>46037</v>
      </c>
      <c r="B37" s="4" t="s">
        <v>12</v>
      </c>
      <c r="C37" s="4" t="s">
        <v>40</v>
      </c>
      <c r="D37" s="4" t="s">
        <v>14</v>
      </c>
      <c r="E37" s="4" t="s">
        <v>14</v>
      </c>
      <c r="F37" s="4" t="s">
        <v>15</v>
      </c>
      <c r="G37" s="4">
        <v>3473.3076923076901</v>
      </c>
      <c r="H37" s="4" t="s">
        <v>16</v>
      </c>
      <c r="I37" s="4">
        <v>0</v>
      </c>
      <c r="J37" s="4">
        <v>5851.5384615384701</v>
      </c>
      <c r="K37" s="4">
        <v>1292.1538461538501</v>
      </c>
      <c r="L37" s="5" t="s">
        <v>41</v>
      </c>
    </row>
    <row r="38" spans="1:12" ht="15" thickBot="1" x14ac:dyDescent="0.35">
      <c r="A38" s="3">
        <v>46038</v>
      </c>
      <c r="B38" s="4" t="s">
        <v>12</v>
      </c>
      <c r="C38" s="4" t="s">
        <v>14</v>
      </c>
      <c r="D38" s="4" t="s">
        <v>30</v>
      </c>
      <c r="E38" s="4" t="s">
        <v>23</v>
      </c>
      <c r="F38" s="4" t="s">
        <v>24</v>
      </c>
      <c r="G38" s="4">
        <v>3285.5384615384601</v>
      </c>
      <c r="H38" s="4" t="s">
        <v>20</v>
      </c>
      <c r="I38" s="4">
        <v>0</v>
      </c>
      <c r="J38" s="4">
        <v>5667.6923076923104</v>
      </c>
      <c r="K38" s="4">
        <v>1272.76923076923</v>
      </c>
      <c r="L38" s="5" t="s">
        <v>42</v>
      </c>
    </row>
    <row r="39" spans="1:12" ht="15" thickBot="1" x14ac:dyDescent="0.35">
      <c r="A39" s="3">
        <v>46040</v>
      </c>
      <c r="B39" s="4" t="s">
        <v>12</v>
      </c>
      <c r="C39" s="4" t="s">
        <v>14</v>
      </c>
      <c r="D39" s="4" t="s">
        <v>43</v>
      </c>
      <c r="E39" s="4" t="s">
        <v>23</v>
      </c>
      <c r="F39" s="4" t="s">
        <v>31</v>
      </c>
      <c r="G39" s="4">
        <v>3097.76923076923</v>
      </c>
      <c r="H39" s="4" t="s">
        <v>20</v>
      </c>
      <c r="I39" s="4">
        <v>0</v>
      </c>
      <c r="J39" s="4">
        <v>5483.8461538461597</v>
      </c>
      <c r="K39" s="4">
        <v>1253.38461538462</v>
      </c>
      <c r="L39" s="5" t="s">
        <v>44</v>
      </c>
    </row>
    <row r="40" spans="1:12" ht="15" thickBot="1" x14ac:dyDescent="0.35">
      <c r="A40" s="3">
        <v>46042</v>
      </c>
      <c r="B40" s="4" t="s">
        <v>12</v>
      </c>
      <c r="C40" s="4" t="s">
        <v>14</v>
      </c>
      <c r="D40" s="4" t="s">
        <v>22</v>
      </c>
      <c r="E40" s="4" t="s">
        <v>23</v>
      </c>
      <c r="F40" s="4" t="s">
        <v>24</v>
      </c>
      <c r="G40" s="4">
        <v>2910</v>
      </c>
      <c r="H40" s="4" t="s">
        <v>20</v>
      </c>
      <c r="I40" s="4">
        <v>0</v>
      </c>
      <c r="J40" s="4">
        <v>5300</v>
      </c>
      <c r="K40" s="4">
        <v>1234</v>
      </c>
      <c r="L40" s="5" t="s">
        <v>45</v>
      </c>
    </row>
    <row r="41" spans="1:12" ht="15" thickBot="1" x14ac:dyDescent="0.35">
      <c r="A41" s="3">
        <v>46044</v>
      </c>
      <c r="B41" s="4" t="s">
        <v>12</v>
      </c>
      <c r="C41" s="4" t="s">
        <v>14</v>
      </c>
      <c r="D41" s="4" t="s">
        <v>46</v>
      </c>
      <c r="E41" s="4" t="s">
        <v>19</v>
      </c>
      <c r="F41" s="4" t="s">
        <v>15</v>
      </c>
      <c r="G41" s="4">
        <v>2722.23076923077</v>
      </c>
      <c r="H41" s="4" t="s">
        <v>20</v>
      </c>
      <c r="I41" s="4">
        <v>0</v>
      </c>
      <c r="J41" s="4">
        <v>5116.1538461538503</v>
      </c>
      <c r="K41" s="4">
        <v>1214.61538461538</v>
      </c>
      <c r="L41" s="5" t="s">
        <v>47</v>
      </c>
    </row>
    <row r="42" spans="1:12" ht="15" thickBot="1" x14ac:dyDescent="0.35">
      <c r="A42" s="3">
        <v>46046</v>
      </c>
      <c r="B42" s="4" t="s">
        <v>12</v>
      </c>
      <c r="C42" s="4" t="s">
        <v>14</v>
      </c>
      <c r="D42" s="4" t="s">
        <v>34</v>
      </c>
      <c r="E42" s="4" t="s">
        <v>23</v>
      </c>
      <c r="F42" s="4" t="s">
        <v>35</v>
      </c>
      <c r="G42" s="4">
        <v>2534.4615384615399</v>
      </c>
      <c r="H42" s="4" t="s">
        <v>20</v>
      </c>
      <c r="I42" s="4">
        <v>0</v>
      </c>
      <c r="J42" s="4">
        <v>4932.3076923076997</v>
      </c>
      <c r="K42" s="4">
        <v>1195.23076923077</v>
      </c>
      <c r="L42" s="5" t="s">
        <v>48</v>
      </c>
    </row>
    <row r="43" spans="1:12" ht="15" thickBot="1" x14ac:dyDescent="0.35">
      <c r="A43" s="3">
        <v>46047</v>
      </c>
      <c r="B43" s="4" t="s">
        <v>12</v>
      </c>
      <c r="C43" s="4" t="s">
        <v>14</v>
      </c>
      <c r="D43" s="4" t="s">
        <v>30</v>
      </c>
      <c r="E43" s="4" t="s">
        <v>23</v>
      </c>
      <c r="F43" s="4" t="s">
        <v>31</v>
      </c>
      <c r="G43" s="4">
        <v>2346.6923076923099</v>
      </c>
      <c r="H43" s="4" t="s">
        <v>20</v>
      </c>
      <c r="I43" s="4">
        <v>0</v>
      </c>
      <c r="J43" s="4">
        <v>4748.4615384615399</v>
      </c>
      <c r="K43" s="4">
        <v>1175.8461538461499</v>
      </c>
      <c r="L43" s="5" t="s">
        <v>32</v>
      </c>
    </row>
    <row r="44" spans="1:12" ht="15" thickBot="1" x14ac:dyDescent="0.35">
      <c r="A44" s="3">
        <v>46048</v>
      </c>
      <c r="B44" s="4" t="s">
        <v>12</v>
      </c>
      <c r="C44" s="4" t="s">
        <v>14</v>
      </c>
      <c r="D44" s="4" t="s">
        <v>22</v>
      </c>
      <c r="E44" s="4" t="s">
        <v>23</v>
      </c>
      <c r="F44" s="4" t="s">
        <v>24</v>
      </c>
      <c r="G44" s="4">
        <v>2158.9230769230799</v>
      </c>
      <c r="H44" s="4" t="s">
        <v>20</v>
      </c>
      <c r="I44" s="4">
        <v>0</v>
      </c>
      <c r="J44" s="4">
        <v>4564.6153846153902</v>
      </c>
      <c r="K44" s="4">
        <v>1156.4615384615399</v>
      </c>
      <c r="L44" s="5" t="s">
        <v>49</v>
      </c>
    </row>
    <row r="45" spans="1:12" ht="15" thickBot="1" x14ac:dyDescent="0.35">
      <c r="A45" s="3">
        <v>46050</v>
      </c>
      <c r="B45" s="4" t="s">
        <v>12</v>
      </c>
      <c r="C45" s="4" t="s">
        <v>14</v>
      </c>
      <c r="D45" s="4" t="s">
        <v>37</v>
      </c>
      <c r="E45" s="4" t="s">
        <v>23</v>
      </c>
      <c r="F45" s="4" t="s">
        <v>24</v>
      </c>
      <c r="G45" s="4">
        <v>1971.1538461538501</v>
      </c>
      <c r="H45" s="4" t="s">
        <v>20</v>
      </c>
      <c r="I45" s="4">
        <v>0</v>
      </c>
      <c r="J45" s="4">
        <v>4380.7692307692296</v>
      </c>
      <c r="K45" s="4">
        <v>1137.0769230769199</v>
      </c>
      <c r="L45" s="5" t="s">
        <v>50</v>
      </c>
    </row>
    <row r="46" spans="1:12" ht="15" thickBot="1" x14ac:dyDescent="0.35">
      <c r="A46" s="3">
        <v>46052</v>
      </c>
      <c r="B46" s="4" t="s">
        <v>12</v>
      </c>
      <c r="C46" s="4" t="s">
        <v>14</v>
      </c>
      <c r="D46" s="4" t="s">
        <v>51</v>
      </c>
      <c r="E46" s="4" t="s">
        <v>19</v>
      </c>
      <c r="F46" s="4" t="s">
        <v>15</v>
      </c>
      <c r="G46" s="4">
        <v>1783.38461538461</v>
      </c>
      <c r="H46" s="4" t="s">
        <v>20</v>
      </c>
      <c r="I46" s="4">
        <v>0</v>
      </c>
      <c r="J46" s="4">
        <v>4196.9230769230799</v>
      </c>
      <c r="K46" s="4">
        <v>1117.6923076923099</v>
      </c>
      <c r="L46" s="5" t="s">
        <v>52</v>
      </c>
    </row>
    <row r="47" spans="1:12" ht="15" thickBot="1" x14ac:dyDescent="0.35">
      <c r="A47" s="3">
        <v>46054</v>
      </c>
      <c r="B47" s="4" t="s">
        <v>53</v>
      </c>
      <c r="C47" s="4" t="s">
        <v>13</v>
      </c>
      <c r="D47" s="4" t="s">
        <v>14</v>
      </c>
      <c r="E47" s="4" t="s">
        <v>14</v>
      </c>
      <c r="F47" s="4" t="s">
        <v>15</v>
      </c>
      <c r="G47" s="4">
        <v>1595.61538461538</v>
      </c>
      <c r="H47" s="4" t="s">
        <v>16</v>
      </c>
      <c r="I47" s="4">
        <v>0</v>
      </c>
      <c r="J47" s="4">
        <v>4013.0769230769301</v>
      </c>
      <c r="K47" s="4">
        <v>1098.3076923076901</v>
      </c>
      <c r="L47" s="5" t="s">
        <v>17</v>
      </c>
    </row>
    <row r="48" spans="1:12" ht="15" thickBot="1" x14ac:dyDescent="0.35">
      <c r="A48" s="3">
        <v>46055</v>
      </c>
      <c r="B48" s="4" t="s">
        <v>53</v>
      </c>
      <c r="C48" s="4" t="s">
        <v>14</v>
      </c>
      <c r="D48" s="4" t="s">
        <v>18</v>
      </c>
      <c r="E48" s="4" t="s">
        <v>19</v>
      </c>
      <c r="F48" s="4" t="s">
        <v>15</v>
      </c>
      <c r="G48" s="4">
        <v>1407.8461538461499</v>
      </c>
      <c r="H48" s="4" t="s">
        <v>20</v>
      </c>
      <c r="I48" s="4">
        <v>0</v>
      </c>
      <c r="J48" s="4">
        <v>3829.23076923077</v>
      </c>
      <c r="K48" s="4">
        <v>1078.9230769230801</v>
      </c>
      <c r="L48" s="5" t="s">
        <v>21</v>
      </c>
    </row>
    <row r="49" spans="1:12" ht="15" thickBot="1" x14ac:dyDescent="0.35">
      <c r="A49" s="3">
        <v>46057</v>
      </c>
      <c r="B49" s="4" t="s">
        <v>53</v>
      </c>
      <c r="C49" s="4" t="s">
        <v>14</v>
      </c>
      <c r="D49" s="4" t="s">
        <v>22</v>
      </c>
      <c r="E49" s="4" t="s">
        <v>23</v>
      </c>
      <c r="F49" s="4" t="s">
        <v>24</v>
      </c>
      <c r="G49" s="4">
        <v>1220.0769230769199</v>
      </c>
      <c r="H49" s="4" t="s">
        <v>20</v>
      </c>
      <c r="I49" s="4">
        <v>0</v>
      </c>
      <c r="J49" s="4">
        <v>3645.3846153846198</v>
      </c>
      <c r="K49" s="4">
        <v>1059.5384615384601</v>
      </c>
      <c r="L49" s="5" t="s">
        <v>25</v>
      </c>
    </row>
    <row r="50" spans="1:12" ht="15" thickBot="1" x14ac:dyDescent="0.35">
      <c r="A50" s="3">
        <v>46059</v>
      </c>
      <c r="B50" s="4" t="s">
        <v>53</v>
      </c>
      <c r="C50" s="4" t="s">
        <v>26</v>
      </c>
      <c r="D50" s="4" t="s">
        <v>14</v>
      </c>
      <c r="E50" s="4" t="s">
        <v>14</v>
      </c>
      <c r="F50" s="4" t="s">
        <v>24</v>
      </c>
      <c r="G50" s="4">
        <v>1032.3076923076901</v>
      </c>
      <c r="H50" s="4" t="s">
        <v>16</v>
      </c>
      <c r="I50" s="4">
        <v>0</v>
      </c>
      <c r="J50" s="4">
        <v>3461.5384615384701</v>
      </c>
      <c r="K50" s="4">
        <v>1040.1538461538501</v>
      </c>
      <c r="L50" s="5" t="s">
        <v>54</v>
      </c>
    </row>
    <row r="51" spans="1:12" ht="15" thickBot="1" x14ac:dyDescent="0.35">
      <c r="A51" s="3">
        <v>46061</v>
      </c>
      <c r="B51" s="4" t="s">
        <v>53</v>
      </c>
      <c r="C51" s="4" t="s">
        <v>14</v>
      </c>
      <c r="D51" s="4" t="s">
        <v>30</v>
      </c>
      <c r="E51" s="4" t="s">
        <v>23</v>
      </c>
      <c r="F51" s="4" t="s">
        <v>31</v>
      </c>
      <c r="G51" s="4">
        <v>844.53846153845905</v>
      </c>
      <c r="H51" s="4" t="s">
        <v>20</v>
      </c>
      <c r="I51" s="4">
        <v>0</v>
      </c>
      <c r="J51" s="4">
        <v>3277.6923076922999</v>
      </c>
      <c r="K51" s="4">
        <v>1020.76923076923</v>
      </c>
      <c r="L51" s="5" t="s">
        <v>55</v>
      </c>
    </row>
    <row r="52" spans="1:12" ht="15" thickBot="1" x14ac:dyDescent="0.35">
      <c r="A52" s="3">
        <v>46023</v>
      </c>
      <c r="B52" s="4" t="s">
        <v>12</v>
      </c>
      <c r="C52" s="4" t="s">
        <v>13</v>
      </c>
      <c r="D52" s="4" t="s">
        <v>14</v>
      </c>
      <c r="E52" s="4" t="s">
        <v>14</v>
      </c>
      <c r="F52" s="4" t="s">
        <v>15</v>
      </c>
      <c r="G52" s="4">
        <v>656.76923076922901</v>
      </c>
      <c r="H52" s="4" t="s">
        <v>16</v>
      </c>
      <c r="I52" s="4">
        <v>0</v>
      </c>
      <c r="J52" s="4">
        <v>3093.8461538461602</v>
      </c>
      <c r="K52" s="4">
        <v>1001.38461538461</v>
      </c>
      <c r="L52" s="5" t="s">
        <v>17</v>
      </c>
    </row>
    <row r="53" spans="1:12" ht="15" thickBot="1" x14ac:dyDescent="0.35">
      <c r="A53" s="3">
        <v>46024</v>
      </c>
      <c r="B53" s="4" t="s">
        <v>12</v>
      </c>
      <c r="C53" s="4" t="s">
        <v>14</v>
      </c>
      <c r="D53" s="4" t="s">
        <v>18</v>
      </c>
      <c r="E53" s="4" t="s">
        <v>19</v>
      </c>
      <c r="F53" s="4" t="s">
        <v>15</v>
      </c>
      <c r="G53" s="4">
        <v>469</v>
      </c>
      <c r="H53" s="4" t="s">
        <v>20</v>
      </c>
      <c r="I53" s="4">
        <v>0</v>
      </c>
      <c r="J53" s="4">
        <v>2910</v>
      </c>
      <c r="K53" s="4">
        <v>982</v>
      </c>
      <c r="L53" s="5" t="s">
        <v>21</v>
      </c>
    </row>
    <row r="54" spans="1:12" ht="15" thickBot="1" x14ac:dyDescent="0.35">
      <c r="A54" s="3">
        <v>46025</v>
      </c>
      <c r="B54" s="4" t="s">
        <v>12</v>
      </c>
      <c r="C54" s="4" t="s">
        <v>14</v>
      </c>
      <c r="D54" s="4" t="s">
        <v>22</v>
      </c>
      <c r="E54" s="4" t="s">
        <v>23</v>
      </c>
      <c r="F54" s="4" t="s">
        <v>24</v>
      </c>
      <c r="G54" s="4">
        <v>281.23076923077002</v>
      </c>
      <c r="H54" s="4" t="s">
        <v>20</v>
      </c>
      <c r="I54" s="4">
        <v>0</v>
      </c>
      <c r="J54" s="4">
        <v>2726.1538461538498</v>
      </c>
      <c r="K54" s="4">
        <v>962.61538461538498</v>
      </c>
      <c r="L54" s="5" t="s">
        <v>25</v>
      </c>
    </row>
    <row r="55" spans="1:12" ht="15" thickBot="1" x14ac:dyDescent="0.35">
      <c r="A55" s="3">
        <v>46026</v>
      </c>
      <c r="B55" s="4" t="s">
        <v>12</v>
      </c>
      <c r="C55" s="4" t="s">
        <v>26</v>
      </c>
      <c r="D55" s="4" t="s">
        <v>14</v>
      </c>
      <c r="E55" s="4" t="s">
        <v>14</v>
      </c>
      <c r="F55" s="4" t="s">
        <v>24</v>
      </c>
      <c r="G55" s="4">
        <v>93.461538461539007</v>
      </c>
      <c r="H55" s="4" t="s">
        <v>16</v>
      </c>
      <c r="I55" s="4">
        <v>0</v>
      </c>
      <c r="J55" s="4">
        <v>2542.3076923077001</v>
      </c>
      <c r="K55" s="4">
        <v>943.23076923076496</v>
      </c>
      <c r="L55" s="5" t="s">
        <v>27</v>
      </c>
    </row>
    <row r="56" spans="1:12" ht="15" thickBot="1" x14ac:dyDescent="0.35">
      <c r="A56" s="3">
        <v>46027</v>
      </c>
      <c r="B56" s="4" t="s">
        <v>12</v>
      </c>
      <c r="C56" s="4" t="s">
        <v>14</v>
      </c>
      <c r="D56" s="4" t="s">
        <v>28</v>
      </c>
      <c r="E56" s="4" t="s">
        <v>19</v>
      </c>
      <c r="F56" s="4" t="s">
        <v>15</v>
      </c>
      <c r="G56" s="4">
        <v>-94.307692307729695</v>
      </c>
      <c r="H56" s="4" t="s">
        <v>20</v>
      </c>
      <c r="I56" s="4">
        <v>0</v>
      </c>
      <c r="J56" s="4">
        <v>2358.4615384615399</v>
      </c>
      <c r="K56" s="4">
        <v>923.84615384615404</v>
      </c>
      <c r="L56" s="5" t="s">
        <v>29</v>
      </c>
    </row>
    <row r="57" spans="1:12" ht="15" thickBot="1" x14ac:dyDescent="0.35">
      <c r="A57" s="3">
        <v>46029</v>
      </c>
      <c r="B57" s="4" t="s">
        <v>12</v>
      </c>
      <c r="C57" s="4" t="s">
        <v>14</v>
      </c>
      <c r="D57" s="4" t="s">
        <v>30</v>
      </c>
      <c r="E57" s="4" t="s">
        <v>23</v>
      </c>
      <c r="F57" s="4" t="s">
        <v>31</v>
      </c>
      <c r="G57" s="4">
        <v>-282.076923076931</v>
      </c>
      <c r="H57" s="4" t="s">
        <v>20</v>
      </c>
      <c r="I57" s="4">
        <v>0</v>
      </c>
      <c r="J57" s="4">
        <v>2174.6153846153502</v>
      </c>
      <c r="K57" s="4">
        <v>904.46153846153402</v>
      </c>
      <c r="L57" s="5" t="s">
        <v>32</v>
      </c>
    </row>
    <row r="58" spans="1:12" ht="15" thickBot="1" x14ac:dyDescent="0.35">
      <c r="A58" s="3">
        <v>46030</v>
      </c>
      <c r="B58" s="4" t="s">
        <v>12</v>
      </c>
      <c r="C58" s="4" t="s">
        <v>14</v>
      </c>
      <c r="D58" s="4" t="s">
        <v>22</v>
      </c>
      <c r="E58" s="4" t="s">
        <v>23</v>
      </c>
      <c r="F58" s="4" t="s">
        <v>24</v>
      </c>
      <c r="G58" s="4">
        <v>-469.84615384613102</v>
      </c>
      <c r="H58" s="4" t="s">
        <v>20</v>
      </c>
      <c r="I58" s="4">
        <v>0</v>
      </c>
      <c r="J58" s="4">
        <v>1990.76923076925</v>
      </c>
      <c r="K58" s="4">
        <v>885.076923076924</v>
      </c>
      <c r="L58" s="5" t="s">
        <v>33</v>
      </c>
    </row>
    <row r="59" spans="1:12" ht="15" thickBot="1" x14ac:dyDescent="0.35">
      <c r="A59" s="3">
        <v>46032</v>
      </c>
      <c r="B59" s="4" t="s">
        <v>12</v>
      </c>
      <c r="C59" s="4" t="s">
        <v>14</v>
      </c>
      <c r="D59" s="4" t="s">
        <v>34</v>
      </c>
      <c r="E59" s="4" t="s">
        <v>23</v>
      </c>
      <c r="F59" s="4" t="s">
        <v>35</v>
      </c>
      <c r="G59" s="4">
        <v>-657.61538461543</v>
      </c>
      <c r="H59" s="4" t="s">
        <v>20</v>
      </c>
      <c r="I59" s="4">
        <v>0</v>
      </c>
      <c r="J59" s="4">
        <v>1806.9230769230501</v>
      </c>
      <c r="K59" s="4">
        <v>865.69230769230398</v>
      </c>
      <c r="L59" s="5" t="s">
        <v>36</v>
      </c>
    </row>
    <row r="60" spans="1:12" ht="15" thickBot="1" x14ac:dyDescent="0.35">
      <c r="A60" s="3">
        <v>46034</v>
      </c>
      <c r="B60" s="4" t="s">
        <v>12</v>
      </c>
      <c r="C60" s="4" t="s">
        <v>14</v>
      </c>
      <c r="D60" s="4" t="s">
        <v>37</v>
      </c>
      <c r="E60" s="4" t="s">
        <v>23</v>
      </c>
      <c r="F60" s="4" t="s">
        <v>24</v>
      </c>
      <c r="G60" s="4">
        <v>-845.38461538463002</v>
      </c>
      <c r="H60" s="4" t="s">
        <v>20</v>
      </c>
      <c r="I60" s="4">
        <v>0</v>
      </c>
      <c r="J60" s="4">
        <v>1623.0769230769499</v>
      </c>
      <c r="K60" s="4">
        <v>846.30769230769397</v>
      </c>
      <c r="L60" s="5" t="s">
        <v>38</v>
      </c>
    </row>
    <row r="61" spans="1:12" ht="15" thickBot="1" x14ac:dyDescent="0.35">
      <c r="A61" s="3">
        <v>46036</v>
      </c>
      <c r="B61" s="4" t="s">
        <v>12</v>
      </c>
      <c r="C61" s="4" t="s">
        <v>14</v>
      </c>
      <c r="D61" s="4" t="s">
        <v>22</v>
      </c>
      <c r="E61" s="4" t="s">
        <v>23</v>
      </c>
      <c r="F61" s="4" t="s">
        <v>24</v>
      </c>
      <c r="G61" s="4">
        <v>-1033.15384615383</v>
      </c>
      <c r="H61" s="4" t="s">
        <v>20</v>
      </c>
      <c r="I61" s="4">
        <v>0</v>
      </c>
      <c r="J61" s="4">
        <v>1439.23076923075</v>
      </c>
      <c r="K61" s="4">
        <v>826.92307692307497</v>
      </c>
      <c r="L61" s="5" t="s">
        <v>39</v>
      </c>
    </row>
    <row r="62" spans="1:12" ht="15" thickBot="1" x14ac:dyDescent="0.35">
      <c r="A62" s="3">
        <v>46037</v>
      </c>
      <c r="B62" s="4" t="s">
        <v>12</v>
      </c>
      <c r="C62" s="4" t="s">
        <v>40</v>
      </c>
      <c r="D62" s="4" t="s">
        <v>14</v>
      </c>
      <c r="E62" s="4" t="s">
        <v>14</v>
      </c>
      <c r="F62" s="4" t="s">
        <v>15</v>
      </c>
      <c r="G62" s="4">
        <v>-1220.9230769230301</v>
      </c>
      <c r="H62" s="4" t="s">
        <v>16</v>
      </c>
      <c r="I62" s="4">
        <v>0</v>
      </c>
      <c r="J62" s="4">
        <v>1255.38461538465</v>
      </c>
      <c r="K62" s="4">
        <v>807.53846153846496</v>
      </c>
      <c r="L62" s="5" t="s">
        <v>41</v>
      </c>
    </row>
    <row r="63" spans="1:12" ht="15" thickBot="1" x14ac:dyDescent="0.35">
      <c r="A63" s="3">
        <v>46038</v>
      </c>
      <c r="B63" s="4" t="s">
        <v>12</v>
      </c>
      <c r="C63" s="4" t="s">
        <v>14</v>
      </c>
      <c r="D63" s="4" t="s">
        <v>30</v>
      </c>
      <c r="E63" s="4" t="s">
        <v>23</v>
      </c>
      <c r="F63" s="4" t="s">
        <v>24</v>
      </c>
      <c r="G63" s="4">
        <v>-1408.6923076923299</v>
      </c>
      <c r="H63" s="4" t="s">
        <v>20</v>
      </c>
      <c r="I63" s="4">
        <v>0</v>
      </c>
      <c r="J63" s="4">
        <v>1071.5384615384501</v>
      </c>
      <c r="K63" s="4">
        <v>788.15384615384505</v>
      </c>
      <c r="L63" s="5" t="s">
        <v>42</v>
      </c>
    </row>
    <row r="64" spans="1:12" ht="15" thickBot="1" x14ac:dyDescent="0.35">
      <c r="A64" s="3">
        <v>46040</v>
      </c>
      <c r="B64" s="4" t="s">
        <v>12</v>
      </c>
      <c r="C64" s="4" t="s">
        <v>14</v>
      </c>
      <c r="D64" s="4" t="s">
        <v>43</v>
      </c>
      <c r="E64" s="4" t="s">
        <v>23</v>
      </c>
      <c r="F64" s="4" t="s">
        <v>31</v>
      </c>
      <c r="G64" s="4">
        <v>-1596.4615384615299</v>
      </c>
      <c r="H64" s="4" t="s">
        <v>20</v>
      </c>
      <c r="I64" s="4">
        <v>0</v>
      </c>
      <c r="J64" s="4">
        <v>887.69230769234503</v>
      </c>
      <c r="K64" s="4">
        <v>768.76923076923504</v>
      </c>
      <c r="L64" s="5" t="s">
        <v>44</v>
      </c>
    </row>
    <row r="65" spans="1:12" ht="15" thickBot="1" x14ac:dyDescent="0.35">
      <c r="A65" s="3">
        <v>46042</v>
      </c>
      <c r="B65" s="4" t="s">
        <v>12</v>
      </c>
      <c r="C65" s="4" t="s">
        <v>14</v>
      </c>
      <c r="D65" s="4" t="s">
        <v>22</v>
      </c>
      <c r="E65" s="4" t="s">
        <v>23</v>
      </c>
      <c r="F65" s="4" t="s">
        <v>24</v>
      </c>
      <c r="G65" s="4">
        <v>-1784.2307692307299</v>
      </c>
      <c r="H65" s="4" t="s">
        <v>20</v>
      </c>
      <c r="I65" s="4">
        <v>0</v>
      </c>
      <c r="J65" s="4">
        <v>703.84615384614494</v>
      </c>
      <c r="K65" s="4">
        <v>749.38461538461502</v>
      </c>
      <c r="L65" s="5" t="s">
        <v>45</v>
      </c>
    </row>
    <row r="66" spans="1:12" ht="15" thickBot="1" x14ac:dyDescent="0.35">
      <c r="A66" s="3">
        <v>46044</v>
      </c>
      <c r="B66" s="4" t="s">
        <v>12</v>
      </c>
      <c r="C66" s="4" t="s">
        <v>14</v>
      </c>
      <c r="D66" s="4" t="s">
        <v>46</v>
      </c>
      <c r="E66" s="4" t="s">
        <v>19</v>
      </c>
      <c r="F66" s="4" t="s">
        <v>15</v>
      </c>
      <c r="G66" s="4">
        <v>-1972.00000000003</v>
      </c>
      <c r="H66" s="4" t="s">
        <v>20</v>
      </c>
      <c r="I66" s="4">
        <v>0</v>
      </c>
      <c r="J66" s="4">
        <v>520.00000000004502</v>
      </c>
      <c r="K66" s="4">
        <v>730.000000000005</v>
      </c>
      <c r="L66" s="5" t="s">
        <v>47</v>
      </c>
    </row>
    <row r="67" spans="1:12" ht="15" thickBot="1" x14ac:dyDescent="0.35">
      <c r="A67" s="3">
        <v>46046</v>
      </c>
      <c r="B67" s="4" t="s">
        <v>12</v>
      </c>
      <c r="C67" s="4" t="s">
        <v>14</v>
      </c>
      <c r="D67" s="4" t="s">
        <v>34</v>
      </c>
      <c r="E67" s="4" t="s">
        <v>23</v>
      </c>
      <c r="F67" s="4" t="s">
        <v>35</v>
      </c>
      <c r="G67" s="4">
        <v>-2159.76923076923</v>
      </c>
      <c r="H67" s="4" t="s">
        <v>20</v>
      </c>
      <c r="I67" s="4">
        <v>0</v>
      </c>
      <c r="J67" s="4">
        <v>336.15384615384602</v>
      </c>
      <c r="K67" s="4">
        <v>710.61538461538498</v>
      </c>
      <c r="L67" s="5" t="s">
        <v>48</v>
      </c>
    </row>
    <row r="68" spans="1:12" ht="15" thickBot="1" x14ac:dyDescent="0.35">
      <c r="A68" s="3">
        <v>46047</v>
      </c>
      <c r="B68" s="4" t="s">
        <v>12</v>
      </c>
      <c r="C68" s="4" t="s">
        <v>14</v>
      </c>
      <c r="D68" s="4" t="s">
        <v>30</v>
      </c>
      <c r="E68" s="4" t="s">
        <v>23</v>
      </c>
      <c r="F68" s="4" t="s">
        <v>31</v>
      </c>
      <c r="G68" s="4">
        <v>-2347.5384615384301</v>
      </c>
      <c r="H68" s="4" t="s">
        <v>20</v>
      </c>
      <c r="I68" s="4">
        <v>0</v>
      </c>
      <c r="J68" s="4">
        <v>152.30769230764599</v>
      </c>
      <c r="K68" s="4">
        <v>691.23076923076496</v>
      </c>
      <c r="L68" s="5" t="s">
        <v>32</v>
      </c>
    </row>
    <row r="69" spans="1:12" ht="15" thickBot="1" x14ac:dyDescent="0.35">
      <c r="A69" s="3">
        <v>46048</v>
      </c>
      <c r="B69" s="4" t="s">
        <v>12</v>
      </c>
      <c r="C69" s="4" t="s">
        <v>14</v>
      </c>
      <c r="D69" s="4" t="s">
        <v>22</v>
      </c>
      <c r="E69" s="4" t="s">
        <v>23</v>
      </c>
      <c r="F69" s="4" t="s">
        <v>24</v>
      </c>
      <c r="G69" s="4">
        <v>-2535.3076923077301</v>
      </c>
      <c r="H69" s="4" t="s">
        <v>20</v>
      </c>
      <c r="I69" s="4">
        <v>0</v>
      </c>
      <c r="J69" s="4">
        <v>-31.538461538453699</v>
      </c>
      <c r="K69" s="4">
        <v>671.84615384615404</v>
      </c>
      <c r="L69" s="5" t="s">
        <v>49</v>
      </c>
    </row>
    <row r="70" spans="1:12" ht="15" thickBot="1" x14ac:dyDescent="0.35">
      <c r="A70" s="3">
        <v>46050</v>
      </c>
      <c r="B70" s="4" t="s">
        <v>12</v>
      </c>
      <c r="C70" s="4" t="s">
        <v>14</v>
      </c>
      <c r="D70" s="4" t="s">
        <v>37</v>
      </c>
      <c r="E70" s="4" t="s">
        <v>23</v>
      </c>
      <c r="F70" s="4" t="s">
        <v>24</v>
      </c>
      <c r="G70" s="4">
        <v>-2723.0769230769301</v>
      </c>
      <c r="H70" s="4" t="s">
        <v>20</v>
      </c>
      <c r="I70" s="4">
        <v>0</v>
      </c>
      <c r="J70" s="4">
        <v>-215.38461538465299</v>
      </c>
      <c r="K70" s="4">
        <v>652.46153846153402</v>
      </c>
      <c r="L70" s="5" t="s">
        <v>50</v>
      </c>
    </row>
    <row r="71" spans="1:12" ht="15" thickBot="1" x14ac:dyDescent="0.35">
      <c r="A71" s="3">
        <v>46052</v>
      </c>
      <c r="B71" s="4" t="s">
        <v>12</v>
      </c>
      <c r="C71" s="4" t="s">
        <v>14</v>
      </c>
      <c r="D71" s="4" t="s">
        <v>51</v>
      </c>
      <c r="E71" s="4" t="s">
        <v>19</v>
      </c>
      <c r="F71" s="4" t="s">
        <v>15</v>
      </c>
      <c r="G71" s="4">
        <v>-2910.8461538461302</v>
      </c>
      <c r="H71" s="4" t="s">
        <v>20</v>
      </c>
      <c r="I71" s="4">
        <v>0</v>
      </c>
      <c r="J71" s="4">
        <v>-399.23076923075502</v>
      </c>
      <c r="K71" s="4">
        <v>633.076923076924</v>
      </c>
      <c r="L71" s="5" t="s">
        <v>52</v>
      </c>
    </row>
    <row r="72" spans="1:12" ht="15" thickBot="1" x14ac:dyDescent="0.35">
      <c r="A72" s="3">
        <v>46054</v>
      </c>
      <c r="B72" s="4" t="s">
        <v>53</v>
      </c>
      <c r="C72" s="4" t="s">
        <v>13</v>
      </c>
      <c r="D72" s="4" t="s">
        <v>14</v>
      </c>
      <c r="E72" s="4" t="s">
        <v>14</v>
      </c>
      <c r="F72" s="4" t="s">
        <v>15</v>
      </c>
      <c r="G72" s="4">
        <v>-3098.6153846154298</v>
      </c>
      <c r="H72" s="4" t="s">
        <v>16</v>
      </c>
      <c r="I72" s="4">
        <v>0</v>
      </c>
      <c r="J72" s="4">
        <v>-583.07692307695504</v>
      </c>
      <c r="K72" s="4">
        <v>613.69230769230398</v>
      </c>
      <c r="L72" s="5" t="s">
        <v>17</v>
      </c>
    </row>
    <row r="73" spans="1:12" ht="15" thickBot="1" x14ac:dyDescent="0.35">
      <c r="A73" s="3">
        <v>46055</v>
      </c>
      <c r="B73" s="4" t="s">
        <v>53</v>
      </c>
      <c r="C73" s="4" t="s">
        <v>14</v>
      </c>
      <c r="D73" s="4" t="s">
        <v>18</v>
      </c>
      <c r="E73" s="4" t="s">
        <v>19</v>
      </c>
      <c r="F73" s="4" t="s">
        <v>15</v>
      </c>
      <c r="G73" s="4">
        <v>-3286.3846153846298</v>
      </c>
      <c r="H73" s="4" t="s">
        <v>20</v>
      </c>
      <c r="I73" s="4">
        <v>0</v>
      </c>
      <c r="J73" s="4">
        <v>-766.92307692305405</v>
      </c>
      <c r="K73" s="4">
        <v>594.30769230769397</v>
      </c>
      <c r="L73" s="5" t="s">
        <v>21</v>
      </c>
    </row>
    <row r="74" spans="1:12" ht="15" thickBot="1" x14ac:dyDescent="0.35">
      <c r="A74" s="3">
        <v>46057</v>
      </c>
      <c r="B74" s="4" t="s">
        <v>53</v>
      </c>
      <c r="C74" s="4" t="s">
        <v>14</v>
      </c>
      <c r="D74" s="4" t="s">
        <v>22</v>
      </c>
      <c r="E74" s="4" t="s">
        <v>23</v>
      </c>
      <c r="F74" s="4" t="s">
        <v>24</v>
      </c>
      <c r="G74" s="4">
        <v>-3474.1538461538298</v>
      </c>
      <c r="H74" s="4" t="s">
        <v>20</v>
      </c>
      <c r="I74" s="4">
        <v>0</v>
      </c>
      <c r="J74" s="4">
        <v>-950.76923076925402</v>
      </c>
      <c r="K74" s="4">
        <v>574.92307692307497</v>
      </c>
      <c r="L74" s="5" t="s">
        <v>25</v>
      </c>
    </row>
    <row r="75" spans="1:12" ht="15" thickBot="1" x14ac:dyDescent="0.35">
      <c r="A75" s="3">
        <v>46059</v>
      </c>
      <c r="B75" s="4" t="s">
        <v>53</v>
      </c>
      <c r="C75" s="4" t="s">
        <v>26</v>
      </c>
      <c r="D75" s="4" t="s">
        <v>14</v>
      </c>
      <c r="E75" s="4" t="s">
        <v>14</v>
      </c>
      <c r="F75" s="4" t="s">
        <v>24</v>
      </c>
      <c r="G75" s="4">
        <v>-3661.9230769230298</v>
      </c>
      <c r="H75" s="4" t="s">
        <v>16</v>
      </c>
      <c r="I75" s="4">
        <v>0</v>
      </c>
      <c r="J75" s="4">
        <v>-1134.61538461535</v>
      </c>
      <c r="K75" s="4">
        <v>555.53846153846496</v>
      </c>
      <c r="L75" s="5" t="s">
        <v>54</v>
      </c>
    </row>
    <row r="76" spans="1:12" ht="15" thickBot="1" x14ac:dyDescent="0.35">
      <c r="A76" s="3">
        <v>46061</v>
      </c>
      <c r="B76" s="4" t="s">
        <v>53</v>
      </c>
      <c r="C76" s="4" t="s">
        <v>14</v>
      </c>
      <c r="D76" s="4" t="s">
        <v>30</v>
      </c>
      <c r="E76" s="4" t="s">
        <v>23</v>
      </c>
      <c r="F76" s="4" t="s">
        <v>31</v>
      </c>
      <c r="G76" s="4">
        <v>-3849.6923076923299</v>
      </c>
      <c r="H76" s="4" t="s">
        <v>20</v>
      </c>
      <c r="I76" s="4">
        <v>0</v>
      </c>
      <c r="J76" s="4">
        <v>-1318.4615384615499</v>
      </c>
      <c r="K76" s="4">
        <v>536.15384615384505</v>
      </c>
      <c r="L76" s="5" t="s">
        <v>55</v>
      </c>
    </row>
    <row r="77" spans="1:12" ht="15" thickBot="1" x14ac:dyDescent="0.35">
      <c r="A77" s="3">
        <v>46023</v>
      </c>
      <c r="B77" s="4" t="s">
        <v>12</v>
      </c>
      <c r="C77" s="4" t="s">
        <v>13</v>
      </c>
      <c r="D77" s="4" t="s">
        <v>14</v>
      </c>
      <c r="E77" s="4" t="s">
        <v>14</v>
      </c>
      <c r="F77" s="4" t="s">
        <v>15</v>
      </c>
      <c r="G77" s="4">
        <v>-4037.4615384615299</v>
      </c>
      <c r="H77" s="4" t="s">
        <v>16</v>
      </c>
      <c r="I77" s="4">
        <v>0</v>
      </c>
      <c r="J77" s="4">
        <v>-1502.3076923076601</v>
      </c>
      <c r="K77" s="4">
        <v>516.76923076923504</v>
      </c>
      <c r="L77" s="5" t="s">
        <v>17</v>
      </c>
    </row>
    <row r="78" spans="1:12" ht="15" thickBot="1" x14ac:dyDescent="0.35">
      <c r="A78" s="3">
        <v>46024</v>
      </c>
      <c r="B78" s="4" t="s">
        <v>12</v>
      </c>
      <c r="C78" s="4" t="s">
        <v>14</v>
      </c>
      <c r="D78" s="4" t="s">
        <v>18</v>
      </c>
      <c r="E78" s="4" t="s">
        <v>19</v>
      </c>
      <c r="F78" s="4" t="s">
        <v>15</v>
      </c>
      <c r="G78" s="4">
        <v>-4225.2307692307304</v>
      </c>
      <c r="H78" s="4" t="s">
        <v>20</v>
      </c>
      <c r="I78" s="4">
        <v>0</v>
      </c>
      <c r="J78" s="4">
        <v>-1686.1538461538501</v>
      </c>
      <c r="K78" s="4">
        <v>497.38461538461502</v>
      </c>
      <c r="L78" s="5" t="s">
        <v>21</v>
      </c>
    </row>
    <row r="79" spans="1:12" ht="15" thickBot="1" x14ac:dyDescent="0.35">
      <c r="A79" s="3">
        <v>46025</v>
      </c>
      <c r="B79" s="4" t="s">
        <v>12</v>
      </c>
      <c r="C79" s="4" t="s">
        <v>14</v>
      </c>
      <c r="D79" s="4" t="s">
        <v>22</v>
      </c>
      <c r="E79" s="4" t="s">
        <v>23</v>
      </c>
      <c r="F79" s="4" t="s">
        <v>24</v>
      </c>
      <c r="G79" s="4">
        <v>-4413.00000000003</v>
      </c>
      <c r="H79" s="4" t="s">
        <v>20</v>
      </c>
      <c r="I79" s="4">
        <v>0</v>
      </c>
      <c r="J79" s="4">
        <v>-1869.99999999995</v>
      </c>
      <c r="K79" s="4">
        <v>478.000000000005</v>
      </c>
      <c r="L79" s="5" t="s">
        <v>25</v>
      </c>
    </row>
    <row r="80" spans="1:12" ht="15" thickBot="1" x14ac:dyDescent="0.35">
      <c r="A80" s="3">
        <v>46026</v>
      </c>
      <c r="B80" s="4" t="s">
        <v>12</v>
      </c>
      <c r="C80" s="4" t="s">
        <v>26</v>
      </c>
      <c r="D80" s="4" t="s">
        <v>14</v>
      </c>
      <c r="E80" s="4" t="s">
        <v>14</v>
      </c>
      <c r="F80" s="4" t="s">
        <v>24</v>
      </c>
      <c r="G80" s="4">
        <v>-4600.7692307692296</v>
      </c>
      <c r="H80" s="4" t="s">
        <v>16</v>
      </c>
      <c r="I80" s="4">
        <v>0</v>
      </c>
      <c r="J80" s="4">
        <v>-2053.8461538461502</v>
      </c>
      <c r="K80" s="4">
        <v>458.61538461538498</v>
      </c>
      <c r="L80" s="5" t="s">
        <v>27</v>
      </c>
    </row>
    <row r="81" spans="1:12" ht="15" thickBot="1" x14ac:dyDescent="0.35">
      <c r="A81" s="3">
        <v>46027</v>
      </c>
      <c r="B81" s="4" t="s">
        <v>12</v>
      </c>
      <c r="C81" s="4" t="s">
        <v>14</v>
      </c>
      <c r="D81" s="4" t="s">
        <v>28</v>
      </c>
      <c r="E81" s="4" t="s">
        <v>19</v>
      </c>
      <c r="F81" s="4" t="s">
        <v>15</v>
      </c>
      <c r="G81" s="4">
        <v>-4788.5384615384301</v>
      </c>
      <c r="H81" s="4" t="s">
        <v>20</v>
      </c>
      <c r="I81" s="4">
        <v>0</v>
      </c>
      <c r="J81" s="4">
        <v>-2237.6923076923499</v>
      </c>
      <c r="K81" s="4">
        <v>439.23076923076502</v>
      </c>
      <c r="L81" s="5" t="s">
        <v>29</v>
      </c>
    </row>
    <row r="82" spans="1:12" ht="15" thickBot="1" x14ac:dyDescent="0.35">
      <c r="A82" s="3">
        <v>46029</v>
      </c>
      <c r="B82" s="4" t="s">
        <v>12</v>
      </c>
      <c r="C82" s="4" t="s">
        <v>14</v>
      </c>
      <c r="D82" s="4" t="s">
        <v>30</v>
      </c>
      <c r="E82" s="4" t="s">
        <v>23</v>
      </c>
      <c r="F82" s="4" t="s">
        <v>31</v>
      </c>
      <c r="G82" s="4">
        <v>-4976.3076923077297</v>
      </c>
      <c r="H82" s="4" t="s">
        <v>20</v>
      </c>
      <c r="I82" s="4">
        <v>0</v>
      </c>
      <c r="J82" s="4">
        <v>-2421.5384615384501</v>
      </c>
      <c r="K82" s="4">
        <v>419.84615384615398</v>
      </c>
      <c r="L82" s="5" t="s">
        <v>32</v>
      </c>
    </row>
    <row r="83" spans="1:12" ht="15" thickBot="1" x14ac:dyDescent="0.35">
      <c r="A83" s="3">
        <v>46030</v>
      </c>
      <c r="B83" s="4" t="s">
        <v>12</v>
      </c>
      <c r="C83" s="4" t="s">
        <v>14</v>
      </c>
      <c r="D83" s="4" t="s">
        <v>22</v>
      </c>
      <c r="E83" s="4" t="s">
        <v>23</v>
      </c>
      <c r="F83" s="4" t="s">
        <v>24</v>
      </c>
      <c r="G83" s="4">
        <v>-5164.0769230769301</v>
      </c>
      <c r="H83" s="4" t="s">
        <v>20</v>
      </c>
      <c r="I83" s="4">
        <v>0</v>
      </c>
      <c r="J83" s="4">
        <v>-2605.3846153846498</v>
      </c>
      <c r="K83" s="4">
        <v>400.46153846153402</v>
      </c>
      <c r="L83" s="5" t="s">
        <v>33</v>
      </c>
    </row>
    <row r="84" spans="1:12" ht="15" thickBot="1" x14ac:dyDescent="0.35">
      <c r="A84" s="3">
        <v>46032</v>
      </c>
      <c r="B84" s="4" t="s">
        <v>12</v>
      </c>
      <c r="C84" s="4" t="s">
        <v>14</v>
      </c>
      <c r="D84" s="4" t="s">
        <v>34</v>
      </c>
      <c r="E84" s="4" t="s">
        <v>23</v>
      </c>
      <c r="F84" s="4" t="s">
        <v>35</v>
      </c>
      <c r="G84" s="4">
        <v>-5351.8461538461297</v>
      </c>
      <c r="H84" s="4" t="s">
        <v>20</v>
      </c>
      <c r="I84" s="4">
        <v>0</v>
      </c>
      <c r="J84" s="4">
        <v>-2789.23076923075</v>
      </c>
      <c r="K84" s="4">
        <v>381.076923076924</v>
      </c>
      <c r="L84" s="5" t="s">
        <v>36</v>
      </c>
    </row>
    <row r="85" spans="1:12" ht="15" thickBot="1" x14ac:dyDescent="0.35">
      <c r="A85" s="3">
        <v>46034</v>
      </c>
      <c r="B85" s="4" t="s">
        <v>12</v>
      </c>
      <c r="C85" s="4" t="s">
        <v>14</v>
      </c>
      <c r="D85" s="4" t="s">
        <v>37</v>
      </c>
      <c r="E85" s="4" t="s">
        <v>23</v>
      </c>
      <c r="F85" s="4" t="s">
        <v>24</v>
      </c>
      <c r="G85" s="4">
        <v>-5539.6153846154302</v>
      </c>
      <c r="H85" s="4" t="s">
        <v>20</v>
      </c>
      <c r="I85" s="4">
        <v>0</v>
      </c>
      <c r="J85" s="4">
        <v>-2973.0769230769502</v>
      </c>
      <c r="K85" s="4">
        <v>361.69230769230398</v>
      </c>
      <c r="L85" s="5" t="s">
        <v>38</v>
      </c>
    </row>
    <row r="86" spans="1:12" ht="15" thickBot="1" x14ac:dyDescent="0.35">
      <c r="A86" s="3">
        <v>46036</v>
      </c>
      <c r="B86" s="4" t="s">
        <v>12</v>
      </c>
      <c r="C86" s="4" t="s">
        <v>14</v>
      </c>
      <c r="D86" s="4" t="s">
        <v>22</v>
      </c>
      <c r="E86" s="4" t="s">
        <v>23</v>
      </c>
      <c r="F86" s="4" t="s">
        <v>24</v>
      </c>
      <c r="G86" s="4">
        <v>-5727.3846153846298</v>
      </c>
      <c r="H86" s="4" t="s">
        <v>20</v>
      </c>
      <c r="I86" s="4">
        <v>0</v>
      </c>
      <c r="J86" s="4">
        <v>-3156.9230769230498</v>
      </c>
      <c r="K86" s="4">
        <v>342.30769230769403</v>
      </c>
      <c r="L86" s="5" t="s">
        <v>39</v>
      </c>
    </row>
    <row r="87" spans="1:12" ht="15" thickBot="1" x14ac:dyDescent="0.35">
      <c r="A87" s="3">
        <v>46037</v>
      </c>
      <c r="B87" s="4" t="s">
        <v>12</v>
      </c>
      <c r="C87" s="4" t="s">
        <v>40</v>
      </c>
      <c r="D87" s="4" t="s">
        <v>14</v>
      </c>
      <c r="E87" s="4" t="s">
        <v>14</v>
      </c>
      <c r="F87" s="4" t="s">
        <v>15</v>
      </c>
      <c r="G87" s="4">
        <v>-5915.1538461538303</v>
      </c>
      <c r="H87" s="4" t="s">
        <v>16</v>
      </c>
      <c r="I87" s="4">
        <v>0</v>
      </c>
      <c r="J87" s="4">
        <v>-3340.76923076925</v>
      </c>
      <c r="K87" s="4">
        <v>322.92307692307497</v>
      </c>
      <c r="L87" s="5" t="s">
        <v>41</v>
      </c>
    </row>
    <row r="88" spans="1:12" ht="15" thickBot="1" x14ac:dyDescent="0.35">
      <c r="A88" s="3">
        <v>46038</v>
      </c>
      <c r="B88" s="4" t="s">
        <v>12</v>
      </c>
      <c r="C88" s="4" t="s">
        <v>14</v>
      </c>
      <c r="D88" s="4" t="s">
        <v>30</v>
      </c>
      <c r="E88" s="4" t="s">
        <v>23</v>
      </c>
      <c r="F88" s="4" t="s">
        <v>24</v>
      </c>
      <c r="G88" s="4">
        <v>-6102.9230769230298</v>
      </c>
      <c r="H88" s="4" t="s">
        <v>20</v>
      </c>
      <c r="I88" s="4">
        <v>0</v>
      </c>
      <c r="J88" s="4">
        <v>-3524.6153846153502</v>
      </c>
      <c r="K88" s="4">
        <v>303.53846153846501</v>
      </c>
      <c r="L88" s="5" t="s">
        <v>42</v>
      </c>
    </row>
    <row r="89" spans="1:12" ht="15" thickBot="1" x14ac:dyDescent="0.35">
      <c r="A89" s="3">
        <v>46040</v>
      </c>
      <c r="B89" s="4" t="s">
        <v>12</v>
      </c>
      <c r="C89" s="4" t="s">
        <v>14</v>
      </c>
      <c r="D89" s="4" t="s">
        <v>43</v>
      </c>
      <c r="E89" s="4" t="s">
        <v>23</v>
      </c>
      <c r="F89" s="4" t="s">
        <v>31</v>
      </c>
      <c r="G89" s="4">
        <v>-6290.6923076923304</v>
      </c>
      <c r="H89" s="4" t="s">
        <v>20</v>
      </c>
      <c r="I89" s="4">
        <v>0</v>
      </c>
      <c r="J89" s="4">
        <v>-3708.4615384615499</v>
      </c>
      <c r="K89" s="4">
        <v>284.153846153845</v>
      </c>
      <c r="L89" s="5" t="s">
        <v>44</v>
      </c>
    </row>
    <row r="90" spans="1:12" ht="15" thickBot="1" x14ac:dyDescent="0.35">
      <c r="A90" s="3">
        <v>46042</v>
      </c>
      <c r="B90" s="4" t="s">
        <v>12</v>
      </c>
      <c r="C90" s="4" t="s">
        <v>14</v>
      </c>
      <c r="D90" s="4" t="s">
        <v>22</v>
      </c>
      <c r="E90" s="4" t="s">
        <v>23</v>
      </c>
      <c r="F90" s="4" t="s">
        <v>24</v>
      </c>
      <c r="G90" s="4">
        <v>-6478.4615384615299</v>
      </c>
      <c r="H90" s="4" t="s">
        <v>20</v>
      </c>
      <c r="I90" s="4">
        <v>0</v>
      </c>
      <c r="J90" s="4">
        <v>-3892.3076923076601</v>
      </c>
      <c r="K90" s="4">
        <v>264.76923076923498</v>
      </c>
      <c r="L90" s="5" t="s">
        <v>45</v>
      </c>
    </row>
    <row r="91" spans="1:12" ht="15" thickBot="1" x14ac:dyDescent="0.35">
      <c r="A91" s="3">
        <v>46044</v>
      </c>
      <c r="B91" s="4" t="s">
        <v>12</v>
      </c>
      <c r="C91" s="4" t="s">
        <v>14</v>
      </c>
      <c r="D91" s="4" t="s">
        <v>46</v>
      </c>
      <c r="E91" s="4" t="s">
        <v>19</v>
      </c>
      <c r="F91" s="4" t="s">
        <v>15</v>
      </c>
      <c r="G91" s="4">
        <v>-6666.2307692307304</v>
      </c>
      <c r="H91" s="4" t="s">
        <v>20</v>
      </c>
      <c r="I91" s="4">
        <v>0</v>
      </c>
      <c r="J91" s="4">
        <v>-4076.1538461538498</v>
      </c>
      <c r="K91" s="4">
        <v>245.38461538461499</v>
      </c>
      <c r="L91" s="5" t="s">
        <v>47</v>
      </c>
    </row>
    <row r="92" spans="1:12" ht="15" thickBot="1" x14ac:dyDescent="0.35">
      <c r="A92" s="3">
        <v>46046</v>
      </c>
      <c r="B92" s="4" t="s">
        <v>12</v>
      </c>
      <c r="C92" s="4" t="s">
        <v>14</v>
      </c>
      <c r="D92" s="4" t="s">
        <v>34</v>
      </c>
      <c r="E92" s="4" t="s">
        <v>23</v>
      </c>
      <c r="F92" s="4" t="s">
        <v>35</v>
      </c>
      <c r="G92" s="4">
        <v>-6854.00000000003</v>
      </c>
      <c r="H92" s="4" t="s">
        <v>20</v>
      </c>
      <c r="I92" s="4">
        <v>0</v>
      </c>
      <c r="J92" s="4">
        <v>-4259.99999999995</v>
      </c>
      <c r="K92" s="4">
        <v>225.999999999995</v>
      </c>
      <c r="L92" s="5" t="s">
        <v>48</v>
      </c>
    </row>
    <row r="93" spans="1:12" ht="15" thickBot="1" x14ac:dyDescent="0.35">
      <c r="A93" s="3">
        <v>46047</v>
      </c>
      <c r="B93" s="4" t="s">
        <v>12</v>
      </c>
      <c r="C93" s="4" t="s">
        <v>14</v>
      </c>
      <c r="D93" s="4" t="s">
        <v>30</v>
      </c>
      <c r="E93" s="4" t="s">
        <v>23</v>
      </c>
      <c r="F93" s="4" t="s">
        <v>31</v>
      </c>
      <c r="G93" s="4">
        <v>-7041.7692307692296</v>
      </c>
      <c r="H93" s="4" t="s">
        <v>20</v>
      </c>
      <c r="I93" s="4">
        <v>0</v>
      </c>
      <c r="J93" s="4">
        <v>-4443.8461538461497</v>
      </c>
      <c r="K93" s="4">
        <v>206.61538461538501</v>
      </c>
      <c r="L93" s="5" t="s">
        <v>32</v>
      </c>
    </row>
    <row r="94" spans="1:12" ht="15" thickBot="1" x14ac:dyDescent="0.35">
      <c r="A94" s="3">
        <v>46048</v>
      </c>
      <c r="B94" s="4" t="s">
        <v>12</v>
      </c>
      <c r="C94" s="4" t="s">
        <v>14</v>
      </c>
      <c r="D94" s="4" t="s">
        <v>22</v>
      </c>
      <c r="E94" s="4" t="s">
        <v>23</v>
      </c>
      <c r="F94" s="4" t="s">
        <v>24</v>
      </c>
      <c r="G94" s="4">
        <v>-7229.5384615384301</v>
      </c>
      <c r="H94" s="4" t="s">
        <v>20</v>
      </c>
      <c r="I94" s="4">
        <v>0</v>
      </c>
      <c r="J94" s="4">
        <v>-4627.6923076923504</v>
      </c>
      <c r="K94" s="4">
        <v>187.23076923076499</v>
      </c>
      <c r="L94" s="5" t="s">
        <v>49</v>
      </c>
    </row>
    <row r="95" spans="1:12" ht="15" thickBot="1" x14ac:dyDescent="0.35">
      <c r="A95" s="3">
        <v>46050</v>
      </c>
      <c r="B95" s="4" t="s">
        <v>12</v>
      </c>
      <c r="C95" s="4" t="s">
        <v>14</v>
      </c>
      <c r="D95" s="4" t="s">
        <v>37</v>
      </c>
      <c r="E95" s="4" t="s">
        <v>23</v>
      </c>
      <c r="F95" s="4" t="s">
        <v>24</v>
      </c>
      <c r="G95" s="4">
        <v>-7417.3076923077297</v>
      </c>
      <c r="H95" s="4" t="s">
        <v>20</v>
      </c>
      <c r="I95" s="4">
        <v>0</v>
      </c>
      <c r="J95" s="4">
        <v>-4811.5384615384601</v>
      </c>
      <c r="K95" s="4">
        <v>167.84615384615401</v>
      </c>
      <c r="L95" s="5" t="s">
        <v>50</v>
      </c>
    </row>
    <row r="96" spans="1:12" ht="15" thickBot="1" x14ac:dyDescent="0.35">
      <c r="A96" s="3">
        <v>46052</v>
      </c>
      <c r="B96" s="4" t="s">
        <v>12</v>
      </c>
      <c r="C96" s="4" t="s">
        <v>14</v>
      </c>
      <c r="D96" s="4" t="s">
        <v>51</v>
      </c>
      <c r="E96" s="4" t="s">
        <v>19</v>
      </c>
      <c r="F96" s="4" t="s">
        <v>15</v>
      </c>
      <c r="G96" s="4">
        <v>-7605.0769230769301</v>
      </c>
      <c r="H96" s="4" t="s">
        <v>20</v>
      </c>
      <c r="I96" s="4">
        <v>0</v>
      </c>
      <c r="J96" s="4">
        <v>-4995.3846153846598</v>
      </c>
      <c r="K96" s="4">
        <v>148.46153846153399</v>
      </c>
      <c r="L96" s="5" t="s">
        <v>52</v>
      </c>
    </row>
    <row r="97" spans="1:12" ht="15" thickBot="1" x14ac:dyDescent="0.35">
      <c r="A97" s="3">
        <v>46054</v>
      </c>
      <c r="B97" s="4" t="s">
        <v>53</v>
      </c>
      <c r="C97" s="4" t="s">
        <v>13</v>
      </c>
      <c r="D97" s="4" t="s">
        <v>14</v>
      </c>
      <c r="E97" s="4" t="s">
        <v>14</v>
      </c>
      <c r="F97" s="4" t="s">
        <v>15</v>
      </c>
      <c r="G97" s="4">
        <v>-7792.8461538461297</v>
      </c>
      <c r="H97" s="4" t="s">
        <v>16</v>
      </c>
      <c r="I97" s="4">
        <v>0</v>
      </c>
      <c r="J97" s="4">
        <v>-5179.2307692307504</v>
      </c>
      <c r="K97" s="4">
        <v>129.076923076924</v>
      </c>
      <c r="L97" s="5" t="s">
        <v>17</v>
      </c>
    </row>
    <row r="98" spans="1:12" ht="15" thickBot="1" x14ac:dyDescent="0.35">
      <c r="A98" s="3">
        <v>46055</v>
      </c>
      <c r="B98" s="4" t="s">
        <v>53</v>
      </c>
      <c r="C98" s="4" t="s">
        <v>14</v>
      </c>
      <c r="D98" s="4" t="s">
        <v>18</v>
      </c>
      <c r="E98" s="4" t="s">
        <v>19</v>
      </c>
      <c r="F98" s="4" t="s">
        <v>15</v>
      </c>
      <c r="G98" s="4">
        <v>-7980.6153846154302</v>
      </c>
      <c r="H98" s="4" t="s">
        <v>20</v>
      </c>
      <c r="I98" s="4">
        <v>0</v>
      </c>
      <c r="J98" s="4">
        <v>-5363.0769230769502</v>
      </c>
      <c r="K98" s="4">
        <v>109.692307692304</v>
      </c>
      <c r="L98" s="5" t="s">
        <v>21</v>
      </c>
    </row>
    <row r="99" spans="1:12" ht="15" thickBot="1" x14ac:dyDescent="0.35">
      <c r="A99" s="3">
        <v>46057</v>
      </c>
      <c r="B99" s="4" t="s">
        <v>53</v>
      </c>
      <c r="C99" s="4" t="s">
        <v>14</v>
      </c>
      <c r="D99" s="4" t="s">
        <v>22</v>
      </c>
      <c r="E99" s="4" t="s">
        <v>23</v>
      </c>
      <c r="F99" s="4" t="s">
        <v>24</v>
      </c>
      <c r="G99" s="4">
        <v>-8168.3846153846298</v>
      </c>
      <c r="H99" s="4" t="s">
        <v>20</v>
      </c>
      <c r="I99" s="4">
        <v>0</v>
      </c>
      <c r="J99" s="4">
        <v>-5546.9230769230498</v>
      </c>
      <c r="K99" s="4">
        <v>90.307692307694396</v>
      </c>
      <c r="L99" s="5" t="s">
        <v>25</v>
      </c>
    </row>
    <row r="100" spans="1:12" ht="15" thickBot="1" x14ac:dyDescent="0.35">
      <c r="A100" s="3">
        <v>46059</v>
      </c>
      <c r="B100" s="4" t="s">
        <v>53</v>
      </c>
      <c r="C100" s="4" t="s">
        <v>26</v>
      </c>
      <c r="D100" s="4" t="s">
        <v>14</v>
      </c>
      <c r="E100" s="4" t="s">
        <v>14</v>
      </c>
      <c r="F100" s="4" t="s">
        <v>24</v>
      </c>
      <c r="G100" s="4">
        <v>-8356.1538461538294</v>
      </c>
      <c r="H100" s="4" t="s">
        <v>16</v>
      </c>
      <c r="I100" s="4">
        <v>0</v>
      </c>
      <c r="J100" s="4">
        <v>-5730.7692307692496</v>
      </c>
      <c r="K100" s="4">
        <v>70.923076923074603</v>
      </c>
      <c r="L100" s="5" t="s">
        <v>54</v>
      </c>
    </row>
    <row r="101" spans="1:12" ht="15" thickBot="1" x14ac:dyDescent="0.35">
      <c r="A101" s="3">
        <v>46061</v>
      </c>
      <c r="B101" s="4" t="s">
        <v>53</v>
      </c>
      <c r="C101" s="4" t="s">
        <v>14</v>
      </c>
      <c r="D101" s="4" t="s">
        <v>30</v>
      </c>
      <c r="E101" s="4" t="s">
        <v>23</v>
      </c>
      <c r="F101" s="4" t="s">
        <v>31</v>
      </c>
      <c r="G101" s="4">
        <v>-8543.9230769231308</v>
      </c>
      <c r="H101" s="4" t="s">
        <v>20</v>
      </c>
      <c r="I101" s="4">
        <v>0</v>
      </c>
      <c r="J101" s="4">
        <v>-5914.6153846153602</v>
      </c>
      <c r="K101" s="4">
        <v>51.538461538464603</v>
      </c>
      <c r="L101" s="5" t="s">
        <v>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65DAE-40DD-4986-B1C1-36E4D4DA0090}">
  <dimension ref="A3:B15"/>
  <sheetViews>
    <sheetView workbookViewId="0">
      <selection activeCell="A13" sqref="A13"/>
    </sheetView>
  </sheetViews>
  <sheetFormatPr defaultRowHeight="14.4" x14ac:dyDescent="0.3"/>
  <cols>
    <col min="1" max="1" width="15.88671875" bestFit="1" customWidth="1"/>
    <col min="2" max="2" width="14.44140625" bestFit="1" customWidth="1"/>
  </cols>
  <sheetData>
    <row r="3" spans="1:2" x14ac:dyDescent="0.3">
      <c r="A3" s="17" t="s">
        <v>63</v>
      </c>
      <c r="B3" t="s">
        <v>62</v>
      </c>
    </row>
    <row r="4" spans="1:2" x14ac:dyDescent="0.3">
      <c r="A4" s="18" t="s">
        <v>22</v>
      </c>
      <c r="B4">
        <v>81356.076923076864</v>
      </c>
    </row>
    <row r="5" spans="1:2" x14ac:dyDescent="0.3">
      <c r="A5" s="18" t="s">
        <v>34</v>
      </c>
      <c r="B5">
        <v>-6290.6923076923304</v>
      </c>
    </row>
    <row r="6" spans="1:2" x14ac:dyDescent="0.3">
      <c r="A6" s="18" t="s">
        <v>61</v>
      </c>
      <c r="B6">
        <v>75065.384615384537</v>
      </c>
    </row>
    <row r="8" spans="1:2" x14ac:dyDescent="0.3">
      <c r="A8" s="17" t="s">
        <v>64</v>
      </c>
      <c r="B8" t="s">
        <v>62</v>
      </c>
    </row>
    <row r="9" spans="1:2" x14ac:dyDescent="0.3">
      <c r="A9" s="18" t="s">
        <v>12</v>
      </c>
      <c r="B9">
        <v>53077.692307692349</v>
      </c>
    </row>
    <row r="10" spans="1:2" x14ac:dyDescent="0.3">
      <c r="A10" s="18" t="s">
        <v>53</v>
      </c>
      <c r="B10">
        <v>21987.692307692196</v>
      </c>
    </row>
    <row r="11" spans="1:2" x14ac:dyDescent="0.3">
      <c r="A11" s="18" t="s">
        <v>61</v>
      </c>
      <c r="B11">
        <v>75065.384615384537</v>
      </c>
    </row>
    <row r="13" spans="1:2" x14ac:dyDescent="0.3">
      <c r="A13" s="17" t="s">
        <v>65</v>
      </c>
      <c r="B13" t="s">
        <v>62</v>
      </c>
    </row>
    <row r="14" spans="1:2" x14ac:dyDescent="0.3">
      <c r="A14" s="18" t="s">
        <v>24</v>
      </c>
      <c r="B14">
        <v>75065.384615384537</v>
      </c>
    </row>
    <row r="15" spans="1:2" x14ac:dyDescent="0.3">
      <c r="A15" s="18" t="s">
        <v>61</v>
      </c>
      <c r="B15">
        <v>75065.384615384537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8AB98-1285-4B15-9C50-9F953A67740A}">
  <dimension ref="A1:O101"/>
  <sheetViews>
    <sheetView tabSelected="1" topLeftCell="A15" zoomScale="85" zoomScaleNormal="85" workbookViewId="0">
      <selection activeCell="F2" sqref="F2:F101"/>
    </sheetView>
  </sheetViews>
  <sheetFormatPr defaultRowHeight="14.4" x14ac:dyDescent="0.3"/>
  <cols>
    <col min="2" max="2" width="12.6640625" customWidth="1"/>
    <col min="3" max="3" width="17.5546875" customWidth="1"/>
    <col min="4" max="4" width="20.88671875" customWidth="1"/>
    <col min="5" max="5" width="16.88671875" customWidth="1"/>
    <col min="6" max="6" width="17.44140625" customWidth="1"/>
    <col min="7" max="7" width="14" bestFit="1" customWidth="1"/>
    <col min="8" max="8" width="11.33203125" customWidth="1"/>
    <col min="9" max="9" width="10.6640625" customWidth="1"/>
    <col min="10" max="10" width="19.5546875" customWidth="1"/>
    <col min="11" max="11" width="20.88671875" customWidth="1"/>
    <col min="12" max="12" width="13.21875" bestFit="1" customWidth="1"/>
    <col min="13" max="13" width="16.6640625" bestFit="1" customWidth="1"/>
    <col min="14" max="14" width="18.109375" bestFit="1" customWidth="1"/>
    <col min="15" max="15" width="15.77734375" bestFit="1" customWidth="1"/>
  </cols>
  <sheetData>
    <row r="1" spans="1:15" ht="15" thickBot="1" x14ac:dyDescent="0.35">
      <c r="A1" s="8" t="s">
        <v>0</v>
      </c>
      <c r="B1" s="9" t="s">
        <v>1</v>
      </c>
      <c r="C1" s="9" t="s">
        <v>2</v>
      </c>
      <c r="D1" s="9" t="s">
        <v>3</v>
      </c>
      <c r="E1" s="9" t="s">
        <v>4</v>
      </c>
      <c r="F1" s="9" t="s">
        <v>5</v>
      </c>
      <c r="G1" s="9" t="s">
        <v>6</v>
      </c>
      <c r="H1" s="9" t="s">
        <v>7</v>
      </c>
      <c r="I1" s="9" t="s">
        <v>8</v>
      </c>
      <c r="J1" s="9" t="s">
        <v>9</v>
      </c>
      <c r="K1" s="9" t="s">
        <v>10</v>
      </c>
      <c r="L1" s="10" t="s">
        <v>11</v>
      </c>
      <c r="M1" s="9" t="s">
        <v>58</v>
      </c>
      <c r="N1" s="9" t="s">
        <v>59</v>
      </c>
      <c r="O1" s="9" t="s">
        <v>60</v>
      </c>
    </row>
    <row r="2" spans="1:15" ht="15" thickBot="1" x14ac:dyDescent="0.35">
      <c r="A2" s="6">
        <v>46023</v>
      </c>
      <c r="B2" s="4" t="str">
        <f>TEXT(FinanceData[[#This Row],[Date]],"mmm")</f>
        <v>Jan</v>
      </c>
      <c r="C2" s="4" t="s">
        <v>13</v>
      </c>
      <c r="D2" s="4" t="s">
        <v>22</v>
      </c>
      <c r="E2" s="4" t="s">
        <v>14</v>
      </c>
      <c r="F2" s="4" t="s">
        <v>24</v>
      </c>
      <c r="G2" s="4">
        <v>55000</v>
      </c>
      <c r="H2" s="4" t="s">
        <v>16</v>
      </c>
      <c r="I2" s="4">
        <f>FinanceData[[#This Row],[Total Income]]-FinanceData[[#This Row],[Total Expense]]</f>
        <v>55000</v>
      </c>
      <c r="J2" s="4">
        <v>55000</v>
      </c>
      <c r="K2" s="4">
        <v>0</v>
      </c>
      <c r="L2" s="7" t="s">
        <v>17</v>
      </c>
      <c r="M2" s="15">
        <f>SUMIFS(FinanceData[[#This Row],[Amount]],FinanceData[[#This Row],[Indicator]],"Income")</f>
        <v>55000</v>
      </c>
      <c r="N2" s="15">
        <f>SUMIFS(FinanceData[[#This Row],[Amount]],FinanceData[[#This Row],[Indicator]],"Expense")</f>
        <v>0</v>
      </c>
      <c r="O2" s="16">
        <f>IFERROR(FinanceData[[#This Row],[Savings]]/FinanceData[[#This Row],[Total Income]],0)</f>
        <v>1</v>
      </c>
    </row>
    <row r="3" spans="1:15" ht="15" thickBot="1" x14ac:dyDescent="0.35">
      <c r="A3" s="6">
        <v>46024</v>
      </c>
      <c r="B3" s="4" t="str">
        <f>TEXT(FinanceData[[#This Row],[Date]],"mmm")</f>
        <v>Jan</v>
      </c>
      <c r="C3" s="4" t="s">
        <v>14</v>
      </c>
      <c r="D3" s="4" t="s">
        <v>22</v>
      </c>
      <c r="E3" s="4" t="s">
        <v>19</v>
      </c>
      <c r="F3" s="4" t="s">
        <v>24</v>
      </c>
      <c r="G3" s="4">
        <v>12000</v>
      </c>
      <c r="H3" s="4" t="s">
        <v>20</v>
      </c>
      <c r="I3" s="4">
        <f>FinanceData[[#This Row],[Total Income]]-FinanceData[[#This Row],[Total Expense]]</f>
        <v>-12000</v>
      </c>
      <c r="J3" s="4">
        <v>12000</v>
      </c>
      <c r="K3" s="4">
        <v>0</v>
      </c>
      <c r="L3" s="7" t="s">
        <v>21</v>
      </c>
      <c r="M3" s="4">
        <f>SUMIFS(FinanceData[[#This Row],[Amount]],FinanceData[[#This Row],[Indicator]],"Income")</f>
        <v>0</v>
      </c>
      <c r="N3" s="4">
        <f>SUMIFS(FinanceData[[#This Row],[Amount]],FinanceData[[#This Row],[Indicator]],"Expense")</f>
        <v>12000</v>
      </c>
      <c r="O3" s="16">
        <f>IFERROR(FinanceData[[#This Row],[Savings]]/FinanceData[[#This Row],[Total Income]],0)</f>
        <v>0</v>
      </c>
    </row>
    <row r="4" spans="1:15" ht="15" thickBot="1" x14ac:dyDescent="0.35">
      <c r="A4" s="6">
        <v>46025</v>
      </c>
      <c r="B4" s="4" t="str">
        <f>TEXT(FinanceData[[#This Row],[Date]],"mmm")</f>
        <v>Jan</v>
      </c>
      <c r="C4" s="4" t="s">
        <v>14</v>
      </c>
      <c r="D4" s="4" t="s">
        <v>22</v>
      </c>
      <c r="E4" s="4" t="s">
        <v>23</v>
      </c>
      <c r="F4" s="4" t="s">
        <v>24</v>
      </c>
      <c r="G4" s="4">
        <v>450</v>
      </c>
      <c r="H4" s="4" t="s">
        <v>20</v>
      </c>
      <c r="I4" s="4">
        <f>FinanceData[[#This Row],[Total Income]]-FinanceData[[#This Row],[Total Expense]]</f>
        <v>-450</v>
      </c>
      <c r="J4" s="4">
        <v>7000</v>
      </c>
      <c r="K4" s="4">
        <v>6550</v>
      </c>
      <c r="L4" s="7" t="s">
        <v>25</v>
      </c>
      <c r="M4" s="4">
        <f>SUMIFS(FinanceData[[#This Row],[Amount]],FinanceData[[#This Row],[Indicator]],"Income")</f>
        <v>0</v>
      </c>
      <c r="N4" s="4">
        <f>SUMIFS(FinanceData[[#This Row],[Amount]],FinanceData[[#This Row],[Indicator]],"Expense")</f>
        <v>450</v>
      </c>
      <c r="O4" s="16">
        <f>IFERROR(FinanceData[[#This Row],[Savings]]/FinanceData[[#This Row],[Total Income]],0)</f>
        <v>0</v>
      </c>
    </row>
    <row r="5" spans="1:15" ht="15" thickBot="1" x14ac:dyDescent="0.35">
      <c r="A5" s="6">
        <v>46026</v>
      </c>
      <c r="B5" s="4" t="str">
        <f>TEXT(FinanceData[[#This Row],[Date]],"mmm")</f>
        <v>Jan</v>
      </c>
      <c r="C5" s="4" t="s">
        <v>26</v>
      </c>
      <c r="D5" s="4" t="s">
        <v>22</v>
      </c>
      <c r="E5" s="4" t="s">
        <v>14</v>
      </c>
      <c r="F5" s="4" t="s">
        <v>24</v>
      </c>
      <c r="G5" s="4">
        <v>8000</v>
      </c>
      <c r="H5" s="4" t="s">
        <v>16</v>
      </c>
      <c r="I5" s="4">
        <f>FinanceData[[#This Row],[Total Income]]-FinanceData[[#This Row],[Total Expense]]</f>
        <v>8000</v>
      </c>
      <c r="J5" s="4">
        <v>8000</v>
      </c>
      <c r="K5" s="4">
        <v>0</v>
      </c>
      <c r="L5" s="7" t="s">
        <v>27</v>
      </c>
      <c r="M5" s="4">
        <f>SUMIFS(FinanceData[[#This Row],[Amount]],FinanceData[[#This Row],[Indicator]],"Income")</f>
        <v>8000</v>
      </c>
      <c r="N5" s="4">
        <f>SUMIFS(FinanceData[[#This Row],[Amount]],FinanceData[[#This Row],[Indicator]],"Expense")</f>
        <v>0</v>
      </c>
      <c r="O5" s="16">
        <f>IFERROR(FinanceData[[#This Row],[Savings]]/FinanceData[[#This Row],[Total Income]],0)</f>
        <v>1</v>
      </c>
    </row>
    <row r="6" spans="1:15" ht="15" thickBot="1" x14ac:dyDescent="0.35">
      <c r="A6" s="6">
        <v>46027</v>
      </c>
      <c r="B6" s="4" t="str">
        <f>TEXT(FinanceData[[#This Row],[Date]],"mmm")</f>
        <v>Jan</v>
      </c>
      <c r="C6" s="4" t="s">
        <v>14</v>
      </c>
      <c r="D6" s="4" t="s">
        <v>22</v>
      </c>
      <c r="E6" s="4" t="s">
        <v>19</v>
      </c>
      <c r="F6" s="4" t="s">
        <v>24</v>
      </c>
      <c r="G6" s="4">
        <v>3500</v>
      </c>
      <c r="H6" s="4" t="s">
        <v>20</v>
      </c>
      <c r="I6" s="4">
        <f>FinanceData[[#This Row],[Total Income]]-FinanceData[[#This Row],[Total Expense]]</f>
        <v>-3500</v>
      </c>
      <c r="J6" s="4">
        <v>3500</v>
      </c>
      <c r="K6" s="4">
        <v>0</v>
      </c>
      <c r="L6" s="7" t="s">
        <v>29</v>
      </c>
      <c r="M6" s="4">
        <f>SUMIFS(FinanceData[[#This Row],[Amount]],FinanceData[[#This Row],[Indicator]],"Income")</f>
        <v>0</v>
      </c>
      <c r="N6" s="4">
        <f>SUMIFS(FinanceData[[#This Row],[Amount]],FinanceData[[#This Row],[Indicator]],"Expense")</f>
        <v>3500</v>
      </c>
      <c r="O6" s="16">
        <f>IFERROR(FinanceData[[#This Row],[Savings]]/FinanceData[[#This Row],[Total Income]],0)</f>
        <v>0</v>
      </c>
    </row>
    <row r="7" spans="1:15" ht="15" thickBot="1" x14ac:dyDescent="0.35">
      <c r="A7" s="6">
        <v>46029</v>
      </c>
      <c r="B7" s="4" t="str">
        <f>TEXT(FinanceData[[#This Row],[Date]],"mmm")</f>
        <v>Jan</v>
      </c>
      <c r="C7" s="4" t="s">
        <v>14</v>
      </c>
      <c r="D7" s="4" t="s">
        <v>22</v>
      </c>
      <c r="E7" s="4" t="s">
        <v>23</v>
      </c>
      <c r="F7" s="4" t="s">
        <v>24</v>
      </c>
      <c r="G7" s="4">
        <v>1200</v>
      </c>
      <c r="H7" s="4" t="s">
        <v>20</v>
      </c>
      <c r="I7" s="4">
        <f>FinanceData[[#This Row],[Total Income]]-FinanceData[[#This Row],[Total Expense]]</f>
        <v>-1200</v>
      </c>
      <c r="J7" s="4">
        <v>4000</v>
      </c>
      <c r="K7" s="4">
        <v>2800</v>
      </c>
      <c r="L7" s="7" t="s">
        <v>32</v>
      </c>
      <c r="M7" s="4">
        <f>SUMIFS(FinanceData[[#This Row],[Amount]],FinanceData[[#This Row],[Indicator]],"Income")</f>
        <v>0</v>
      </c>
      <c r="N7" s="4">
        <f>SUMIFS(FinanceData[[#This Row],[Amount]],FinanceData[[#This Row],[Indicator]],"Expense")</f>
        <v>1200</v>
      </c>
      <c r="O7" s="16">
        <f>IFERROR(FinanceData[[#This Row],[Savings]]/FinanceData[[#This Row],[Total Income]],0)</f>
        <v>0</v>
      </c>
    </row>
    <row r="8" spans="1:15" ht="15" thickBot="1" x14ac:dyDescent="0.35">
      <c r="A8" s="6">
        <v>46030</v>
      </c>
      <c r="B8" s="4" t="str">
        <f>TEXT(FinanceData[[#This Row],[Date]],"mmm")</f>
        <v>Jan</v>
      </c>
      <c r="C8" s="4" t="s">
        <v>14</v>
      </c>
      <c r="D8" s="4" t="s">
        <v>22</v>
      </c>
      <c r="E8" s="4" t="s">
        <v>23</v>
      </c>
      <c r="F8" s="4" t="s">
        <v>24</v>
      </c>
      <c r="G8" s="4">
        <v>850</v>
      </c>
      <c r="H8" s="4" t="s">
        <v>20</v>
      </c>
      <c r="I8" s="4">
        <f>FinanceData[[#This Row],[Total Income]]-FinanceData[[#This Row],[Total Expense]]</f>
        <v>-850</v>
      </c>
      <c r="J8" s="4">
        <v>7000</v>
      </c>
      <c r="K8" s="4">
        <v>5700</v>
      </c>
      <c r="L8" s="7" t="s">
        <v>33</v>
      </c>
      <c r="M8" s="4">
        <f>SUMIFS(FinanceData[[#This Row],[Amount]],FinanceData[[#This Row],[Indicator]],"Income")</f>
        <v>0</v>
      </c>
      <c r="N8" s="4">
        <f>SUMIFS(FinanceData[[#This Row],[Amount]],FinanceData[[#This Row],[Indicator]],"Expense")</f>
        <v>850</v>
      </c>
      <c r="O8" s="16">
        <f>IFERROR(FinanceData[[#This Row],[Savings]]/FinanceData[[#This Row],[Total Income]],0)</f>
        <v>0</v>
      </c>
    </row>
    <row r="9" spans="1:15" ht="15" thickBot="1" x14ac:dyDescent="0.35">
      <c r="A9" s="6">
        <v>46032</v>
      </c>
      <c r="B9" s="4" t="str">
        <f>TEXT(FinanceData[[#This Row],[Date]],"mmm")</f>
        <v>Jan</v>
      </c>
      <c r="C9" s="4" t="s">
        <v>14</v>
      </c>
      <c r="D9" s="4" t="s">
        <v>22</v>
      </c>
      <c r="E9" s="4" t="s">
        <v>23</v>
      </c>
      <c r="F9" s="4" t="s">
        <v>24</v>
      </c>
      <c r="G9" s="4">
        <v>4200</v>
      </c>
      <c r="H9" s="4" t="s">
        <v>20</v>
      </c>
      <c r="I9" s="4">
        <f>FinanceData[[#This Row],[Total Income]]-FinanceData[[#This Row],[Total Expense]]</f>
        <v>-4200</v>
      </c>
      <c r="J9" s="4">
        <v>5000</v>
      </c>
      <c r="K9" s="4">
        <v>800</v>
      </c>
      <c r="L9" s="7" t="s">
        <v>36</v>
      </c>
      <c r="M9" s="4">
        <f>SUMIFS(FinanceData[[#This Row],[Amount]],FinanceData[[#This Row],[Indicator]],"Income")</f>
        <v>0</v>
      </c>
      <c r="N9" s="4">
        <f>SUMIFS(FinanceData[[#This Row],[Amount]],FinanceData[[#This Row],[Indicator]],"Expense")</f>
        <v>4200</v>
      </c>
      <c r="O9" s="16">
        <f>IFERROR(FinanceData[[#This Row],[Savings]]/FinanceData[[#This Row],[Total Income]],0)</f>
        <v>0</v>
      </c>
    </row>
    <row r="10" spans="1:15" ht="15" thickBot="1" x14ac:dyDescent="0.35">
      <c r="A10" s="6">
        <v>46034</v>
      </c>
      <c r="B10" s="4" t="str">
        <f>TEXT(FinanceData[[#This Row],[Date]],"mmm")</f>
        <v>Jan</v>
      </c>
      <c r="C10" s="4" t="s">
        <v>14</v>
      </c>
      <c r="D10" s="4" t="s">
        <v>22</v>
      </c>
      <c r="E10" s="4" t="s">
        <v>23</v>
      </c>
      <c r="F10" s="4" t="s">
        <v>24</v>
      </c>
      <c r="G10" s="4">
        <v>600</v>
      </c>
      <c r="H10" s="4" t="s">
        <v>20</v>
      </c>
      <c r="I10" s="4">
        <f>FinanceData[[#This Row],[Total Income]]-FinanceData[[#This Row],[Total Expense]]</f>
        <v>-600</v>
      </c>
      <c r="J10" s="4">
        <v>2000</v>
      </c>
      <c r="K10" s="4">
        <v>1400</v>
      </c>
      <c r="L10" s="7" t="s">
        <v>38</v>
      </c>
      <c r="M10" s="4">
        <f>SUMIFS(FinanceData[[#This Row],[Amount]],FinanceData[[#This Row],[Indicator]],"Income")</f>
        <v>0</v>
      </c>
      <c r="N10" s="4">
        <f>SUMIFS(FinanceData[[#This Row],[Amount]],FinanceData[[#This Row],[Indicator]],"Expense")</f>
        <v>600</v>
      </c>
      <c r="O10" s="16">
        <f>IFERROR(FinanceData[[#This Row],[Savings]]/FinanceData[[#This Row],[Total Income]],0)</f>
        <v>0</v>
      </c>
    </row>
    <row r="11" spans="1:15" ht="15" thickBot="1" x14ac:dyDescent="0.35">
      <c r="A11" s="6">
        <v>46036</v>
      </c>
      <c r="B11" s="4" t="str">
        <f>TEXT(FinanceData[[#This Row],[Date]],"mmm")</f>
        <v>Jan</v>
      </c>
      <c r="C11" s="4" t="s">
        <v>14</v>
      </c>
      <c r="D11" s="4" t="s">
        <v>22</v>
      </c>
      <c r="E11" s="4" t="s">
        <v>23</v>
      </c>
      <c r="F11" s="4" t="s">
        <v>24</v>
      </c>
      <c r="G11" s="4">
        <v>300</v>
      </c>
      <c r="H11" s="4" t="s">
        <v>20</v>
      </c>
      <c r="I11" s="4">
        <f>FinanceData[[#This Row],[Total Income]]-FinanceData[[#This Row],[Total Expense]]</f>
        <v>-300</v>
      </c>
      <c r="J11" s="4">
        <v>7000</v>
      </c>
      <c r="K11" s="4">
        <v>5400</v>
      </c>
      <c r="L11" s="7" t="s">
        <v>39</v>
      </c>
      <c r="M11" s="4">
        <f>SUMIFS(FinanceData[[#This Row],[Amount]],FinanceData[[#This Row],[Indicator]],"Income")</f>
        <v>0</v>
      </c>
      <c r="N11" s="4">
        <f>SUMIFS(FinanceData[[#This Row],[Amount]],FinanceData[[#This Row],[Indicator]],"Expense")</f>
        <v>300</v>
      </c>
      <c r="O11" s="16">
        <f>IFERROR(FinanceData[[#This Row],[Savings]]/FinanceData[[#This Row],[Total Income]],0)</f>
        <v>0</v>
      </c>
    </row>
    <row r="12" spans="1:15" ht="15" thickBot="1" x14ac:dyDescent="0.35">
      <c r="A12" s="6">
        <v>46037</v>
      </c>
      <c r="B12" s="4" t="str">
        <f>TEXT(FinanceData[[#This Row],[Date]],"mmm")</f>
        <v>Jan</v>
      </c>
      <c r="C12" s="4" t="s">
        <v>40</v>
      </c>
      <c r="D12" s="4" t="s">
        <v>22</v>
      </c>
      <c r="E12" s="4" t="s">
        <v>14</v>
      </c>
      <c r="F12" s="4" t="s">
        <v>24</v>
      </c>
      <c r="G12" s="4">
        <v>15000</v>
      </c>
      <c r="H12" s="4" t="s">
        <v>16</v>
      </c>
      <c r="I12" s="4">
        <f>FinanceData[[#This Row],[Total Income]]-FinanceData[[#This Row],[Total Expense]]</f>
        <v>15000</v>
      </c>
      <c r="J12" s="4">
        <v>15000</v>
      </c>
      <c r="K12" s="4">
        <v>0</v>
      </c>
      <c r="L12" s="7" t="s">
        <v>41</v>
      </c>
      <c r="M12" s="4">
        <f>SUMIFS(FinanceData[[#This Row],[Amount]],FinanceData[[#This Row],[Indicator]],"Income")</f>
        <v>15000</v>
      </c>
      <c r="N12" s="4">
        <f>SUMIFS(FinanceData[[#This Row],[Amount]],FinanceData[[#This Row],[Indicator]],"Expense")</f>
        <v>0</v>
      </c>
      <c r="O12" s="16">
        <f>IFERROR(FinanceData[[#This Row],[Savings]]/FinanceData[[#This Row],[Total Income]],0)</f>
        <v>1</v>
      </c>
    </row>
    <row r="13" spans="1:15" ht="15" thickBot="1" x14ac:dyDescent="0.35">
      <c r="A13" s="6">
        <v>46038</v>
      </c>
      <c r="B13" s="4" t="str">
        <f>TEXT(FinanceData[[#This Row],[Date]],"mmm")</f>
        <v>Jan</v>
      </c>
      <c r="C13" s="4" t="s">
        <v>14</v>
      </c>
      <c r="D13" s="4" t="s">
        <v>22</v>
      </c>
      <c r="E13" s="4" t="s">
        <v>23</v>
      </c>
      <c r="F13" s="4" t="s">
        <v>24</v>
      </c>
      <c r="G13" s="4">
        <v>500</v>
      </c>
      <c r="H13" s="4" t="s">
        <v>20</v>
      </c>
      <c r="I13" s="4">
        <f>FinanceData[[#This Row],[Total Income]]-FinanceData[[#This Row],[Total Expense]]</f>
        <v>-500</v>
      </c>
      <c r="J13" s="4">
        <v>4000</v>
      </c>
      <c r="K13" s="4">
        <v>2300</v>
      </c>
      <c r="L13" s="7" t="s">
        <v>42</v>
      </c>
      <c r="M13" s="4">
        <f>SUMIFS(FinanceData[[#This Row],[Amount]],FinanceData[[#This Row],[Indicator]],"Income")</f>
        <v>0</v>
      </c>
      <c r="N13" s="4">
        <f>SUMIFS(FinanceData[[#This Row],[Amount]],FinanceData[[#This Row],[Indicator]],"Expense")</f>
        <v>500</v>
      </c>
      <c r="O13" s="16">
        <f>IFERROR(FinanceData[[#This Row],[Savings]]/FinanceData[[#This Row],[Total Income]],0)</f>
        <v>0</v>
      </c>
    </row>
    <row r="14" spans="1:15" ht="15" thickBot="1" x14ac:dyDescent="0.35">
      <c r="A14" s="6">
        <v>46040</v>
      </c>
      <c r="B14" s="4" t="str">
        <f>TEXT(FinanceData[[#This Row],[Date]],"mmm")</f>
        <v>Jan</v>
      </c>
      <c r="C14" s="4" t="s">
        <v>14</v>
      </c>
      <c r="D14" s="4" t="s">
        <v>22</v>
      </c>
      <c r="E14" s="4" t="s">
        <v>23</v>
      </c>
      <c r="F14" s="4" t="s">
        <v>24</v>
      </c>
      <c r="G14" s="4">
        <v>1500</v>
      </c>
      <c r="H14" s="4" t="s">
        <v>20</v>
      </c>
      <c r="I14" s="4">
        <f>FinanceData[[#This Row],[Total Income]]-FinanceData[[#This Row],[Total Expense]]</f>
        <v>-1500</v>
      </c>
      <c r="J14" s="4">
        <v>2000</v>
      </c>
      <c r="K14" s="4">
        <v>500</v>
      </c>
      <c r="L14" s="7" t="s">
        <v>44</v>
      </c>
      <c r="M14" s="4">
        <f>SUMIFS(FinanceData[[#This Row],[Amount]],FinanceData[[#This Row],[Indicator]],"Income")</f>
        <v>0</v>
      </c>
      <c r="N14" s="4">
        <f>SUMIFS(FinanceData[[#This Row],[Amount]],FinanceData[[#This Row],[Indicator]],"Expense")</f>
        <v>1500</v>
      </c>
      <c r="O14" s="16">
        <f>IFERROR(FinanceData[[#This Row],[Savings]]/FinanceData[[#This Row],[Total Income]],0)</f>
        <v>0</v>
      </c>
    </row>
    <row r="15" spans="1:15" ht="15" thickBot="1" x14ac:dyDescent="0.35">
      <c r="A15" s="6">
        <v>46042</v>
      </c>
      <c r="B15" s="4" t="str">
        <f>TEXT(FinanceData[[#This Row],[Date]],"mmm")</f>
        <v>Jan</v>
      </c>
      <c r="C15" s="4" t="s">
        <v>14</v>
      </c>
      <c r="D15" s="4" t="s">
        <v>22</v>
      </c>
      <c r="E15" s="4" t="s">
        <v>23</v>
      </c>
      <c r="F15" s="4" t="s">
        <v>24</v>
      </c>
      <c r="G15" s="4">
        <v>1100</v>
      </c>
      <c r="H15" s="4" t="s">
        <v>20</v>
      </c>
      <c r="I15" s="4">
        <f>FinanceData[[#This Row],[Total Income]]-FinanceData[[#This Row],[Total Expense]]</f>
        <v>-1100</v>
      </c>
      <c r="J15" s="4">
        <v>7000</v>
      </c>
      <c r="K15" s="4">
        <v>4300</v>
      </c>
      <c r="L15" s="7" t="s">
        <v>45</v>
      </c>
      <c r="M15" s="4">
        <f>SUMIFS(FinanceData[[#This Row],[Amount]],FinanceData[[#This Row],[Indicator]],"Income")</f>
        <v>0</v>
      </c>
      <c r="N15" s="4">
        <f>SUMIFS(FinanceData[[#This Row],[Amount]],FinanceData[[#This Row],[Indicator]],"Expense")</f>
        <v>1100</v>
      </c>
      <c r="O15" s="16">
        <f>IFERROR(FinanceData[[#This Row],[Savings]]/FinanceData[[#This Row],[Total Income]],0)</f>
        <v>0</v>
      </c>
    </row>
    <row r="16" spans="1:15" ht="15" thickBot="1" x14ac:dyDescent="0.35">
      <c r="A16" s="6">
        <v>46044</v>
      </c>
      <c r="B16" s="4" t="str">
        <f>TEXT(FinanceData[[#This Row],[Date]],"mmm")</f>
        <v>Jan</v>
      </c>
      <c r="C16" s="4" t="s">
        <v>14</v>
      </c>
      <c r="D16" s="4" t="s">
        <v>22</v>
      </c>
      <c r="E16" s="4" t="s">
        <v>19</v>
      </c>
      <c r="F16" s="4" t="s">
        <v>24</v>
      </c>
      <c r="G16" s="4">
        <v>2200</v>
      </c>
      <c r="H16" s="4" t="s">
        <v>20</v>
      </c>
      <c r="I16" s="4">
        <f>FinanceData[[#This Row],[Total Income]]-FinanceData[[#This Row],[Total Expense]]</f>
        <v>-2200</v>
      </c>
      <c r="J16" s="4">
        <v>2500</v>
      </c>
      <c r="K16" s="4">
        <v>300</v>
      </c>
      <c r="L16" s="7" t="s">
        <v>47</v>
      </c>
      <c r="M16" s="4">
        <f>SUMIFS(FinanceData[[#This Row],[Amount]],FinanceData[[#This Row],[Indicator]],"Income")</f>
        <v>0</v>
      </c>
      <c r="N16" s="4">
        <f>SUMIFS(FinanceData[[#This Row],[Amount]],FinanceData[[#This Row],[Indicator]],"Expense")</f>
        <v>2200</v>
      </c>
      <c r="O16" s="16">
        <f>IFERROR(FinanceData[[#This Row],[Savings]]/FinanceData[[#This Row],[Total Income]],0)</f>
        <v>0</v>
      </c>
    </row>
    <row r="17" spans="1:15" ht="15" thickBot="1" x14ac:dyDescent="0.35">
      <c r="A17" s="6">
        <v>46046</v>
      </c>
      <c r="B17" s="4" t="str">
        <f>TEXT(FinanceData[[#This Row],[Date]],"mmm")</f>
        <v>Jan</v>
      </c>
      <c r="C17" s="4" t="s">
        <v>14</v>
      </c>
      <c r="D17" s="4" t="s">
        <v>22</v>
      </c>
      <c r="E17" s="4" t="s">
        <v>23</v>
      </c>
      <c r="F17" s="4" t="s">
        <v>24</v>
      </c>
      <c r="G17" s="4">
        <v>1800</v>
      </c>
      <c r="H17" s="4" t="s">
        <v>20</v>
      </c>
      <c r="I17" s="4">
        <f>FinanceData[[#This Row],[Total Income]]-FinanceData[[#This Row],[Total Expense]]</f>
        <v>-1800</v>
      </c>
      <c r="J17" s="4">
        <v>5000</v>
      </c>
      <c r="K17" s="4">
        <v>-1000</v>
      </c>
      <c r="L17" s="7" t="s">
        <v>48</v>
      </c>
      <c r="M17" s="4">
        <f>SUMIFS(FinanceData[[#This Row],[Amount]],FinanceData[[#This Row],[Indicator]],"Income")</f>
        <v>0</v>
      </c>
      <c r="N17" s="4">
        <f>SUMIFS(FinanceData[[#This Row],[Amount]],FinanceData[[#This Row],[Indicator]],"Expense")</f>
        <v>1800</v>
      </c>
      <c r="O17" s="16">
        <f>IFERROR(FinanceData[[#This Row],[Savings]]/FinanceData[[#This Row],[Total Income]],0)</f>
        <v>0</v>
      </c>
    </row>
    <row r="18" spans="1:15" ht="15" thickBot="1" x14ac:dyDescent="0.35">
      <c r="A18" s="6">
        <v>46047</v>
      </c>
      <c r="B18" s="4" t="str">
        <f>TEXT(FinanceData[[#This Row],[Date]],"mmm")</f>
        <v>Jan</v>
      </c>
      <c r="C18" s="4" t="s">
        <v>14</v>
      </c>
      <c r="D18" s="4" t="s">
        <v>22</v>
      </c>
      <c r="E18" s="4" t="s">
        <v>23</v>
      </c>
      <c r="F18" s="4" t="s">
        <v>24</v>
      </c>
      <c r="G18" s="4">
        <v>900</v>
      </c>
      <c r="H18" s="4" t="s">
        <v>20</v>
      </c>
      <c r="I18" s="4">
        <f>FinanceData[[#This Row],[Total Income]]-FinanceData[[#This Row],[Total Expense]]</f>
        <v>-900</v>
      </c>
      <c r="J18" s="4">
        <v>4000</v>
      </c>
      <c r="K18" s="4">
        <v>1400</v>
      </c>
      <c r="L18" s="7" t="s">
        <v>32</v>
      </c>
      <c r="M18" s="4">
        <f>SUMIFS(FinanceData[[#This Row],[Amount]],FinanceData[[#This Row],[Indicator]],"Income")</f>
        <v>0</v>
      </c>
      <c r="N18" s="4">
        <f>SUMIFS(FinanceData[[#This Row],[Amount]],FinanceData[[#This Row],[Indicator]],"Expense")</f>
        <v>900</v>
      </c>
      <c r="O18" s="16">
        <f>IFERROR(FinanceData[[#This Row],[Savings]]/FinanceData[[#This Row],[Total Income]],0)</f>
        <v>0</v>
      </c>
    </row>
    <row r="19" spans="1:15" ht="15" thickBot="1" x14ac:dyDescent="0.35">
      <c r="A19" s="6">
        <v>46048</v>
      </c>
      <c r="B19" s="4" t="str">
        <f>TEXT(FinanceData[[#This Row],[Date]],"mmm")</f>
        <v>Jan</v>
      </c>
      <c r="C19" s="4" t="s">
        <v>14</v>
      </c>
      <c r="D19" s="4" t="s">
        <v>22</v>
      </c>
      <c r="E19" s="4" t="s">
        <v>23</v>
      </c>
      <c r="F19" s="4" t="s">
        <v>24</v>
      </c>
      <c r="G19" s="4">
        <v>400</v>
      </c>
      <c r="H19" s="4" t="s">
        <v>20</v>
      </c>
      <c r="I19" s="4">
        <f>FinanceData[[#This Row],[Total Income]]-FinanceData[[#This Row],[Total Expense]]</f>
        <v>-400</v>
      </c>
      <c r="J19" s="4">
        <v>7000</v>
      </c>
      <c r="K19" s="4">
        <v>3900</v>
      </c>
      <c r="L19" s="7" t="s">
        <v>49</v>
      </c>
      <c r="M19" s="4">
        <f>SUMIFS(FinanceData[[#This Row],[Amount]],FinanceData[[#This Row],[Indicator]],"Income")</f>
        <v>0</v>
      </c>
      <c r="N19" s="4">
        <f>SUMIFS(FinanceData[[#This Row],[Amount]],FinanceData[[#This Row],[Indicator]],"Expense")</f>
        <v>400</v>
      </c>
      <c r="O19" s="16">
        <f>IFERROR(FinanceData[[#This Row],[Savings]]/FinanceData[[#This Row],[Total Income]],0)</f>
        <v>0</v>
      </c>
    </row>
    <row r="20" spans="1:15" ht="15" thickBot="1" x14ac:dyDescent="0.35">
      <c r="A20" s="6">
        <v>46050</v>
      </c>
      <c r="B20" s="4" t="str">
        <f>TEXT(FinanceData[[#This Row],[Date]],"mmm")</f>
        <v>Jan</v>
      </c>
      <c r="C20" s="4" t="s">
        <v>14</v>
      </c>
      <c r="D20" s="4" t="s">
        <v>22</v>
      </c>
      <c r="E20" s="4" t="s">
        <v>23</v>
      </c>
      <c r="F20" s="4" t="s">
        <v>24</v>
      </c>
      <c r="G20" s="4">
        <v>1200</v>
      </c>
      <c r="H20" s="4" t="s">
        <v>20</v>
      </c>
      <c r="I20" s="4">
        <f>FinanceData[[#This Row],[Total Income]]-FinanceData[[#This Row],[Total Expense]]</f>
        <v>-1200</v>
      </c>
      <c r="J20" s="4">
        <v>2000</v>
      </c>
      <c r="K20" s="4">
        <v>200</v>
      </c>
      <c r="L20" s="7" t="s">
        <v>50</v>
      </c>
      <c r="M20" s="4">
        <f>SUMIFS(FinanceData[[#This Row],[Amount]],FinanceData[[#This Row],[Indicator]],"Income")</f>
        <v>0</v>
      </c>
      <c r="N20" s="4">
        <f>SUMIFS(FinanceData[[#This Row],[Amount]],FinanceData[[#This Row],[Indicator]],"Expense")</f>
        <v>1200</v>
      </c>
      <c r="O20" s="16">
        <f>IFERROR(FinanceData[[#This Row],[Savings]]/FinanceData[[#This Row],[Total Income]],0)</f>
        <v>0</v>
      </c>
    </row>
    <row r="21" spans="1:15" ht="15" thickBot="1" x14ac:dyDescent="0.35">
      <c r="A21" s="6">
        <v>46052</v>
      </c>
      <c r="B21" s="4" t="str">
        <f>TEXT(FinanceData[[#This Row],[Date]],"mmm")</f>
        <v>Jan</v>
      </c>
      <c r="C21" s="4" t="s">
        <v>14</v>
      </c>
      <c r="D21" s="4" t="s">
        <v>22</v>
      </c>
      <c r="E21" s="4" t="s">
        <v>19</v>
      </c>
      <c r="F21" s="4" t="s">
        <v>24</v>
      </c>
      <c r="G21" s="4">
        <v>10000</v>
      </c>
      <c r="H21" s="4" t="s">
        <v>20</v>
      </c>
      <c r="I21" s="4">
        <f>FinanceData[[#This Row],[Total Income]]-FinanceData[[#This Row],[Total Expense]]</f>
        <v>-10000</v>
      </c>
      <c r="J21" s="4">
        <v>10000</v>
      </c>
      <c r="K21" s="4">
        <v>0</v>
      </c>
      <c r="L21" s="7" t="s">
        <v>52</v>
      </c>
      <c r="M21" s="4">
        <f>SUMIFS(FinanceData[[#This Row],[Amount]],FinanceData[[#This Row],[Indicator]],"Income")</f>
        <v>0</v>
      </c>
      <c r="N21" s="4">
        <f>SUMIFS(FinanceData[[#This Row],[Amount]],FinanceData[[#This Row],[Indicator]],"Expense")</f>
        <v>10000</v>
      </c>
      <c r="O21" s="16">
        <f>IFERROR(FinanceData[[#This Row],[Savings]]/FinanceData[[#This Row],[Total Income]],0)</f>
        <v>0</v>
      </c>
    </row>
    <row r="22" spans="1:15" ht="15" thickBot="1" x14ac:dyDescent="0.35">
      <c r="A22" s="6">
        <v>46054</v>
      </c>
      <c r="B22" s="4" t="str">
        <f>TEXT(FinanceData[[#This Row],[Date]],"mmm")</f>
        <v>Feb</v>
      </c>
      <c r="C22" s="4" t="s">
        <v>13</v>
      </c>
      <c r="D22" s="4" t="s">
        <v>22</v>
      </c>
      <c r="E22" s="4" t="s">
        <v>14</v>
      </c>
      <c r="F22" s="4" t="s">
        <v>24</v>
      </c>
      <c r="G22" s="4">
        <v>55000</v>
      </c>
      <c r="H22" s="4" t="s">
        <v>16</v>
      </c>
      <c r="I22" s="4">
        <f>FinanceData[[#This Row],[Total Income]]-FinanceData[[#This Row],[Total Expense]]</f>
        <v>55000</v>
      </c>
      <c r="J22" s="4">
        <v>55000</v>
      </c>
      <c r="K22" s="4">
        <v>0</v>
      </c>
      <c r="L22" s="7" t="s">
        <v>17</v>
      </c>
      <c r="M22" s="4">
        <f>SUMIFS(FinanceData[[#This Row],[Amount]],FinanceData[[#This Row],[Indicator]],"Income")</f>
        <v>55000</v>
      </c>
      <c r="N22" s="4">
        <f>SUMIFS(FinanceData[[#This Row],[Amount]],FinanceData[[#This Row],[Indicator]],"Expense")</f>
        <v>0</v>
      </c>
      <c r="O22" s="16">
        <f>IFERROR(FinanceData[[#This Row],[Savings]]/FinanceData[[#This Row],[Total Income]],0)</f>
        <v>1</v>
      </c>
    </row>
    <row r="23" spans="1:15" ht="15" thickBot="1" x14ac:dyDescent="0.35">
      <c r="A23" s="6">
        <v>46055</v>
      </c>
      <c r="B23" s="4" t="str">
        <f>TEXT(FinanceData[[#This Row],[Date]],"mmm")</f>
        <v>Feb</v>
      </c>
      <c r="C23" s="4" t="s">
        <v>14</v>
      </c>
      <c r="D23" s="4" t="s">
        <v>22</v>
      </c>
      <c r="E23" s="4" t="s">
        <v>19</v>
      </c>
      <c r="F23" s="4" t="s">
        <v>24</v>
      </c>
      <c r="G23" s="4">
        <v>12000</v>
      </c>
      <c r="H23" s="4" t="s">
        <v>20</v>
      </c>
      <c r="I23" s="4">
        <f>FinanceData[[#This Row],[Total Income]]-FinanceData[[#This Row],[Total Expense]]</f>
        <v>-12000</v>
      </c>
      <c r="J23" s="4">
        <v>12000</v>
      </c>
      <c r="K23" s="4">
        <v>0</v>
      </c>
      <c r="L23" s="7" t="s">
        <v>21</v>
      </c>
      <c r="M23" s="4">
        <f>SUMIFS(FinanceData[[#This Row],[Amount]],FinanceData[[#This Row],[Indicator]],"Income")</f>
        <v>0</v>
      </c>
      <c r="N23" s="4">
        <f>SUMIFS(FinanceData[[#This Row],[Amount]],FinanceData[[#This Row],[Indicator]],"Expense")</f>
        <v>12000</v>
      </c>
      <c r="O23" s="16">
        <f>IFERROR(FinanceData[[#This Row],[Savings]]/FinanceData[[#This Row],[Total Income]],0)</f>
        <v>0</v>
      </c>
    </row>
    <row r="24" spans="1:15" ht="15" thickBot="1" x14ac:dyDescent="0.35">
      <c r="A24" s="6">
        <v>46057</v>
      </c>
      <c r="B24" s="4" t="str">
        <f>TEXT(FinanceData[[#This Row],[Date]],"mmm")</f>
        <v>Feb</v>
      </c>
      <c r="C24" s="4" t="s">
        <v>14</v>
      </c>
      <c r="D24" s="4" t="s">
        <v>22</v>
      </c>
      <c r="E24" s="4" t="s">
        <v>23</v>
      </c>
      <c r="F24" s="4" t="s">
        <v>24</v>
      </c>
      <c r="G24" s="4">
        <v>600</v>
      </c>
      <c r="H24" s="4" t="s">
        <v>20</v>
      </c>
      <c r="I24" s="4">
        <f>FinanceData[[#This Row],[Total Income]]-FinanceData[[#This Row],[Total Expense]]</f>
        <v>-600</v>
      </c>
      <c r="J24" s="4">
        <v>7000</v>
      </c>
      <c r="K24" s="4">
        <v>6400</v>
      </c>
      <c r="L24" s="7" t="s">
        <v>25</v>
      </c>
      <c r="M24" s="4">
        <f>SUMIFS(FinanceData[[#This Row],[Amount]],FinanceData[[#This Row],[Indicator]],"Income")</f>
        <v>0</v>
      </c>
      <c r="N24" s="4">
        <f>SUMIFS(FinanceData[[#This Row],[Amount]],FinanceData[[#This Row],[Indicator]],"Expense")</f>
        <v>600</v>
      </c>
      <c r="O24" s="16">
        <f>IFERROR(FinanceData[[#This Row],[Savings]]/FinanceData[[#This Row],[Total Income]],0)</f>
        <v>0</v>
      </c>
    </row>
    <row r="25" spans="1:15" ht="15" thickBot="1" x14ac:dyDescent="0.35">
      <c r="A25" s="6">
        <v>46059</v>
      </c>
      <c r="B25" s="4" t="str">
        <f>TEXT(FinanceData[[#This Row],[Date]],"mmm")</f>
        <v>Feb</v>
      </c>
      <c r="C25" s="4" t="s">
        <v>26</v>
      </c>
      <c r="D25" s="4" t="s">
        <v>22</v>
      </c>
      <c r="E25" s="4" t="s">
        <v>14</v>
      </c>
      <c r="F25" s="4" t="s">
        <v>24</v>
      </c>
      <c r="G25" s="4">
        <v>5000</v>
      </c>
      <c r="H25" s="4" t="s">
        <v>16</v>
      </c>
      <c r="I25" s="4">
        <f>FinanceData[[#This Row],[Total Income]]-FinanceData[[#This Row],[Total Expense]]</f>
        <v>5000</v>
      </c>
      <c r="J25" s="4">
        <v>5000</v>
      </c>
      <c r="K25" s="4">
        <v>0</v>
      </c>
      <c r="L25" s="7" t="s">
        <v>54</v>
      </c>
      <c r="M25" s="4">
        <f>SUMIFS(FinanceData[[#This Row],[Amount]],FinanceData[[#This Row],[Indicator]],"Income")</f>
        <v>5000</v>
      </c>
      <c r="N25" s="4">
        <f>SUMIFS(FinanceData[[#This Row],[Amount]],FinanceData[[#This Row],[Indicator]],"Expense")</f>
        <v>0</v>
      </c>
      <c r="O25" s="16">
        <f>IFERROR(FinanceData[[#This Row],[Savings]]/FinanceData[[#This Row],[Total Income]],0)</f>
        <v>1</v>
      </c>
    </row>
    <row r="26" spans="1:15" ht="15" thickBot="1" x14ac:dyDescent="0.35">
      <c r="A26" s="6">
        <v>46061</v>
      </c>
      <c r="B26" s="4" t="str">
        <f>TEXT(FinanceData[[#This Row],[Date]],"mmm")</f>
        <v>Feb</v>
      </c>
      <c r="C26" s="4" t="s">
        <v>14</v>
      </c>
      <c r="D26" s="4" t="s">
        <v>22</v>
      </c>
      <c r="E26" s="4" t="s">
        <v>23</v>
      </c>
      <c r="F26" s="4" t="s">
        <v>24</v>
      </c>
      <c r="G26" s="4">
        <v>1500</v>
      </c>
      <c r="H26" s="4" t="s">
        <v>20</v>
      </c>
      <c r="I26" s="4">
        <f>FinanceData[[#This Row],[Total Income]]-FinanceData[[#This Row],[Total Expense]]</f>
        <v>-1500</v>
      </c>
      <c r="J26" s="4">
        <v>4000</v>
      </c>
      <c r="K26" s="4">
        <v>2500</v>
      </c>
      <c r="L26" s="7" t="s">
        <v>55</v>
      </c>
      <c r="M26" s="4">
        <f>SUMIFS(FinanceData[[#This Row],[Amount]],FinanceData[[#This Row],[Indicator]],"Income")</f>
        <v>0</v>
      </c>
      <c r="N26" s="4">
        <f>SUMIFS(FinanceData[[#This Row],[Amount]],FinanceData[[#This Row],[Indicator]],"Expense")</f>
        <v>1500</v>
      </c>
      <c r="O26" s="16">
        <f>IFERROR(FinanceData[[#This Row],[Savings]]/FinanceData[[#This Row],[Total Income]],0)</f>
        <v>0</v>
      </c>
    </row>
    <row r="27" spans="1:15" ht="15" thickBot="1" x14ac:dyDescent="0.35">
      <c r="A27" s="6">
        <v>46023</v>
      </c>
      <c r="B27" s="4" t="str">
        <f>TEXT(FinanceData[[#This Row],[Date]],"mmm")</f>
        <v>Jan</v>
      </c>
      <c r="C27" s="4" t="s">
        <v>13</v>
      </c>
      <c r="D27" s="4" t="s">
        <v>22</v>
      </c>
      <c r="E27" s="4" t="s">
        <v>14</v>
      </c>
      <c r="F27" s="4" t="s">
        <v>24</v>
      </c>
      <c r="G27" s="4">
        <v>5351</v>
      </c>
      <c r="H27" s="4" t="s">
        <v>16</v>
      </c>
      <c r="I27" s="4">
        <f>FinanceData[[#This Row],[Total Income]]-FinanceData[[#This Row],[Total Expense]]</f>
        <v>5351</v>
      </c>
      <c r="J27" s="4">
        <v>7690</v>
      </c>
      <c r="K27" s="4">
        <v>1486</v>
      </c>
      <c r="L27" s="7" t="s">
        <v>17</v>
      </c>
      <c r="M27" s="4">
        <f>SUMIFS(FinanceData[[#This Row],[Amount]],FinanceData[[#This Row],[Indicator]],"Income")</f>
        <v>5351</v>
      </c>
      <c r="N27" s="4">
        <f>SUMIFS(FinanceData[[#This Row],[Amount]],FinanceData[[#This Row],[Indicator]],"Expense")</f>
        <v>0</v>
      </c>
      <c r="O27" s="16">
        <f>IFERROR(FinanceData[[#This Row],[Savings]]/FinanceData[[#This Row],[Total Income]],0)</f>
        <v>1</v>
      </c>
    </row>
    <row r="28" spans="1:15" ht="15" thickBot="1" x14ac:dyDescent="0.35">
      <c r="A28" s="6">
        <v>46024</v>
      </c>
      <c r="B28" s="4" t="str">
        <f>TEXT(FinanceData[[#This Row],[Date]],"mmm")</f>
        <v>Jan</v>
      </c>
      <c r="C28" s="4" t="s">
        <v>14</v>
      </c>
      <c r="D28" s="4" t="s">
        <v>22</v>
      </c>
      <c r="E28" s="4" t="s">
        <v>19</v>
      </c>
      <c r="F28" s="4" t="s">
        <v>24</v>
      </c>
      <c r="G28" s="4">
        <v>5163.2307692307704</v>
      </c>
      <c r="H28" s="4" t="s">
        <v>20</v>
      </c>
      <c r="I28" s="4">
        <f>FinanceData[[#This Row],[Total Income]]-FinanceData[[#This Row],[Total Expense]]</f>
        <v>-5163.2307692307704</v>
      </c>
      <c r="J28" s="4">
        <v>7506.1538461538503</v>
      </c>
      <c r="K28" s="4">
        <v>1466.61538461538</v>
      </c>
      <c r="L28" s="7" t="s">
        <v>21</v>
      </c>
      <c r="M28" s="4">
        <f>SUMIFS(FinanceData[[#This Row],[Amount]],FinanceData[[#This Row],[Indicator]],"Income")</f>
        <v>0</v>
      </c>
      <c r="N28" s="4">
        <f>SUMIFS(FinanceData[[#This Row],[Amount]],FinanceData[[#This Row],[Indicator]],"Expense")</f>
        <v>5163.2307692307704</v>
      </c>
      <c r="O28" s="16">
        <f>IFERROR(FinanceData[[#This Row],[Savings]]/FinanceData[[#This Row],[Total Income]],0)</f>
        <v>0</v>
      </c>
    </row>
    <row r="29" spans="1:15" ht="15" thickBot="1" x14ac:dyDescent="0.35">
      <c r="A29" s="6">
        <v>46025</v>
      </c>
      <c r="B29" s="4" t="str">
        <f>TEXT(FinanceData[[#This Row],[Date]],"mmm")</f>
        <v>Jan</v>
      </c>
      <c r="C29" s="4" t="s">
        <v>14</v>
      </c>
      <c r="D29" s="4" t="s">
        <v>22</v>
      </c>
      <c r="E29" s="4" t="s">
        <v>23</v>
      </c>
      <c r="F29" s="4" t="s">
        <v>24</v>
      </c>
      <c r="G29" s="4">
        <v>4975.4615384615399</v>
      </c>
      <c r="H29" s="4" t="s">
        <v>20</v>
      </c>
      <c r="I29" s="4">
        <f>FinanceData[[#This Row],[Total Income]]-FinanceData[[#This Row],[Total Expense]]</f>
        <v>-4975.4615384615399</v>
      </c>
      <c r="J29" s="4">
        <v>7322.3076923076997</v>
      </c>
      <c r="K29" s="4">
        <v>1447.23076923077</v>
      </c>
      <c r="L29" s="7" t="s">
        <v>25</v>
      </c>
      <c r="M29" s="4">
        <f>SUMIFS(FinanceData[[#This Row],[Amount]],FinanceData[[#This Row],[Indicator]],"Income")</f>
        <v>0</v>
      </c>
      <c r="N29" s="4">
        <f>SUMIFS(FinanceData[[#This Row],[Amount]],FinanceData[[#This Row],[Indicator]],"Expense")</f>
        <v>4975.4615384615399</v>
      </c>
      <c r="O29" s="16">
        <f>IFERROR(FinanceData[[#This Row],[Savings]]/FinanceData[[#This Row],[Total Income]],0)</f>
        <v>0</v>
      </c>
    </row>
    <row r="30" spans="1:15" ht="15" thickBot="1" x14ac:dyDescent="0.35">
      <c r="A30" s="6">
        <v>46026</v>
      </c>
      <c r="B30" s="4" t="str">
        <f>TEXT(FinanceData[[#This Row],[Date]],"mmm")</f>
        <v>Jan</v>
      </c>
      <c r="C30" s="4" t="s">
        <v>26</v>
      </c>
      <c r="D30" s="4" t="s">
        <v>22</v>
      </c>
      <c r="E30" s="4" t="s">
        <v>14</v>
      </c>
      <c r="F30" s="4" t="s">
        <v>24</v>
      </c>
      <c r="G30" s="4">
        <v>4787.6923076923104</v>
      </c>
      <c r="H30" s="4" t="s">
        <v>16</v>
      </c>
      <c r="I30" s="4">
        <f>FinanceData[[#This Row],[Total Income]]-FinanceData[[#This Row],[Total Expense]]</f>
        <v>4787.6923076923104</v>
      </c>
      <c r="J30" s="4">
        <v>7138.4615384615399</v>
      </c>
      <c r="K30" s="4">
        <v>1427.8461538461499</v>
      </c>
      <c r="L30" s="7" t="s">
        <v>27</v>
      </c>
      <c r="M30" s="4">
        <f>SUMIFS(FinanceData[[#This Row],[Amount]],FinanceData[[#This Row],[Indicator]],"Income")</f>
        <v>4787.6923076923104</v>
      </c>
      <c r="N30" s="4">
        <f>SUMIFS(FinanceData[[#This Row],[Amount]],FinanceData[[#This Row],[Indicator]],"Expense")</f>
        <v>0</v>
      </c>
      <c r="O30" s="16">
        <f>IFERROR(FinanceData[[#This Row],[Savings]]/FinanceData[[#This Row],[Total Income]],0)</f>
        <v>1</v>
      </c>
    </row>
    <row r="31" spans="1:15" ht="15" thickBot="1" x14ac:dyDescent="0.35">
      <c r="A31" s="6">
        <v>46027</v>
      </c>
      <c r="B31" s="4" t="str">
        <f>TEXT(FinanceData[[#This Row],[Date]],"mmm")</f>
        <v>Jan</v>
      </c>
      <c r="C31" s="4" t="s">
        <v>14</v>
      </c>
      <c r="D31" s="4" t="s">
        <v>22</v>
      </c>
      <c r="E31" s="4" t="s">
        <v>19</v>
      </c>
      <c r="F31" s="4" t="s">
        <v>24</v>
      </c>
      <c r="G31" s="4">
        <v>4599.9230769230799</v>
      </c>
      <c r="H31" s="4" t="s">
        <v>20</v>
      </c>
      <c r="I31" s="4">
        <f>FinanceData[[#This Row],[Total Income]]-FinanceData[[#This Row],[Total Expense]]</f>
        <v>-4599.9230769230799</v>
      </c>
      <c r="J31" s="4">
        <v>6954.6153846153902</v>
      </c>
      <c r="K31" s="4">
        <v>1408.4615384615399</v>
      </c>
      <c r="L31" s="7" t="s">
        <v>29</v>
      </c>
      <c r="M31" s="4">
        <f>SUMIFS(FinanceData[[#This Row],[Amount]],FinanceData[[#This Row],[Indicator]],"Income")</f>
        <v>0</v>
      </c>
      <c r="N31" s="4">
        <f>SUMIFS(FinanceData[[#This Row],[Amount]],FinanceData[[#This Row],[Indicator]],"Expense")</f>
        <v>4599.9230769230799</v>
      </c>
      <c r="O31" s="16">
        <f>IFERROR(FinanceData[[#This Row],[Savings]]/FinanceData[[#This Row],[Total Income]],0)</f>
        <v>0</v>
      </c>
    </row>
    <row r="32" spans="1:15" ht="15" thickBot="1" x14ac:dyDescent="0.35">
      <c r="A32" s="6">
        <v>46029</v>
      </c>
      <c r="B32" s="4" t="str">
        <f>TEXT(FinanceData[[#This Row],[Date]],"mmm")</f>
        <v>Jan</v>
      </c>
      <c r="C32" s="4" t="s">
        <v>14</v>
      </c>
      <c r="D32" s="4" t="s">
        <v>22</v>
      </c>
      <c r="E32" s="4" t="s">
        <v>23</v>
      </c>
      <c r="F32" s="4" t="s">
        <v>24</v>
      </c>
      <c r="G32" s="4">
        <v>4412.1538461538503</v>
      </c>
      <c r="H32" s="4" t="s">
        <v>20</v>
      </c>
      <c r="I32" s="4">
        <f>FinanceData[[#This Row],[Total Income]]-FinanceData[[#This Row],[Total Expense]]</f>
        <v>-4412.1538461538503</v>
      </c>
      <c r="J32" s="4">
        <v>6770.7692307692296</v>
      </c>
      <c r="K32" s="4">
        <v>1389.0769230769199</v>
      </c>
      <c r="L32" s="7" t="s">
        <v>32</v>
      </c>
      <c r="M32" s="4">
        <f>SUMIFS(FinanceData[[#This Row],[Amount]],FinanceData[[#This Row],[Indicator]],"Income")</f>
        <v>0</v>
      </c>
      <c r="N32" s="4">
        <f>SUMIFS(FinanceData[[#This Row],[Amount]],FinanceData[[#This Row],[Indicator]],"Expense")</f>
        <v>4412.1538461538503</v>
      </c>
      <c r="O32" s="16">
        <f>IFERROR(FinanceData[[#This Row],[Savings]]/FinanceData[[#This Row],[Total Income]],0)</f>
        <v>0</v>
      </c>
    </row>
    <row r="33" spans="1:15" ht="15" thickBot="1" x14ac:dyDescent="0.35">
      <c r="A33" s="6">
        <v>46030</v>
      </c>
      <c r="B33" s="4" t="str">
        <f>TEXT(FinanceData[[#This Row],[Date]],"mmm")</f>
        <v>Jan</v>
      </c>
      <c r="C33" s="4" t="s">
        <v>14</v>
      </c>
      <c r="D33" s="4" t="s">
        <v>22</v>
      </c>
      <c r="E33" s="4" t="s">
        <v>23</v>
      </c>
      <c r="F33" s="4" t="s">
        <v>24</v>
      </c>
      <c r="G33" s="4">
        <v>4224.3846153846098</v>
      </c>
      <c r="H33" s="4" t="s">
        <v>20</v>
      </c>
      <c r="I33" s="4">
        <f>FinanceData[[#This Row],[Total Income]]-FinanceData[[#This Row],[Total Expense]]</f>
        <v>-4224.3846153846098</v>
      </c>
      <c r="J33" s="4">
        <v>6586.9230769230799</v>
      </c>
      <c r="K33" s="4">
        <v>1369.6923076923099</v>
      </c>
      <c r="L33" s="7" t="s">
        <v>33</v>
      </c>
      <c r="M33" s="4">
        <f>SUMIFS(FinanceData[[#This Row],[Amount]],FinanceData[[#This Row],[Indicator]],"Income")</f>
        <v>0</v>
      </c>
      <c r="N33" s="4">
        <f>SUMIFS(FinanceData[[#This Row],[Amount]],FinanceData[[#This Row],[Indicator]],"Expense")</f>
        <v>4224.3846153846098</v>
      </c>
      <c r="O33" s="16">
        <f>IFERROR(FinanceData[[#This Row],[Savings]]/FinanceData[[#This Row],[Total Income]],0)</f>
        <v>0</v>
      </c>
    </row>
    <row r="34" spans="1:15" ht="15" thickBot="1" x14ac:dyDescent="0.35">
      <c r="A34" s="6">
        <v>46032</v>
      </c>
      <c r="B34" s="4" t="str">
        <f>TEXT(FinanceData[[#This Row],[Date]],"mmm")</f>
        <v>Jan</v>
      </c>
      <c r="C34" s="4" t="s">
        <v>14</v>
      </c>
      <c r="D34" s="4" t="s">
        <v>22</v>
      </c>
      <c r="E34" s="4" t="s">
        <v>23</v>
      </c>
      <c r="F34" s="4" t="s">
        <v>24</v>
      </c>
      <c r="G34" s="4">
        <v>4036.6153846153802</v>
      </c>
      <c r="H34" s="4" t="s">
        <v>20</v>
      </c>
      <c r="I34" s="4">
        <f>FinanceData[[#This Row],[Total Income]]-FinanceData[[#This Row],[Total Expense]]</f>
        <v>-4036.6153846153802</v>
      </c>
      <c r="J34" s="4">
        <v>6403.0769230769301</v>
      </c>
      <c r="K34" s="4">
        <v>1350.3076923076901</v>
      </c>
      <c r="L34" s="7" t="s">
        <v>36</v>
      </c>
      <c r="M34" s="4">
        <f>SUMIFS(FinanceData[[#This Row],[Amount]],FinanceData[[#This Row],[Indicator]],"Income")</f>
        <v>0</v>
      </c>
      <c r="N34" s="4">
        <f>SUMIFS(FinanceData[[#This Row],[Amount]],FinanceData[[#This Row],[Indicator]],"Expense")</f>
        <v>4036.6153846153802</v>
      </c>
      <c r="O34" s="16">
        <f>IFERROR(FinanceData[[#This Row],[Savings]]/FinanceData[[#This Row],[Total Income]],0)</f>
        <v>0</v>
      </c>
    </row>
    <row r="35" spans="1:15" ht="15" thickBot="1" x14ac:dyDescent="0.35">
      <c r="A35" s="6">
        <v>46034</v>
      </c>
      <c r="B35" s="4" t="str">
        <f>TEXT(FinanceData[[#This Row],[Date]],"mmm")</f>
        <v>Jan</v>
      </c>
      <c r="C35" s="4" t="s">
        <v>14</v>
      </c>
      <c r="D35" s="4" t="s">
        <v>22</v>
      </c>
      <c r="E35" s="4" t="s">
        <v>23</v>
      </c>
      <c r="F35" s="4" t="s">
        <v>24</v>
      </c>
      <c r="G35" s="4">
        <v>3848.8461538461502</v>
      </c>
      <c r="H35" s="4" t="s">
        <v>20</v>
      </c>
      <c r="I35" s="4">
        <f>FinanceData[[#This Row],[Total Income]]-FinanceData[[#This Row],[Total Expense]]</f>
        <v>-3848.8461538461502</v>
      </c>
      <c r="J35" s="4">
        <v>6219.2307692307704</v>
      </c>
      <c r="K35" s="4">
        <v>1330.9230769230801</v>
      </c>
      <c r="L35" s="7" t="s">
        <v>38</v>
      </c>
      <c r="M35" s="4">
        <f>SUMIFS(FinanceData[[#This Row],[Amount]],FinanceData[[#This Row],[Indicator]],"Income")</f>
        <v>0</v>
      </c>
      <c r="N35" s="4">
        <f>SUMIFS(FinanceData[[#This Row],[Amount]],FinanceData[[#This Row],[Indicator]],"Expense")</f>
        <v>3848.8461538461502</v>
      </c>
      <c r="O35" s="16">
        <f>IFERROR(FinanceData[[#This Row],[Savings]]/FinanceData[[#This Row],[Total Income]],0)</f>
        <v>0</v>
      </c>
    </row>
    <row r="36" spans="1:15" ht="15" thickBot="1" x14ac:dyDescent="0.35">
      <c r="A36" s="6">
        <v>46036</v>
      </c>
      <c r="B36" s="4" t="str">
        <f>TEXT(FinanceData[[#This Row],[Date]],"mmm")</f>
        <v>Jan</v>
      </c>
      <c r="C36" s="4" t="s">
        <v>14</v>
      </c>
      <c r="D36" s="4" t="s">
        <v>22</v>
      </c>
      <c r="E36" s="4" t="s">
        <v>23</v>
      </c>
      <c r="F36" s="4" t="s">
        <v>24</v>
      </c>
      <c r="G36" s="4">
        <v>3661.0769230769201</v>
      </c>
      <c r="H36" s="4" t="s">
        <v>20</v>
      </c>
      <c r="I36" s="4">
        <f>FinanceData[[#This Row],[Total Income]]-FinanceData[[#This Row],[Total Expense]]</f>
        <v>-3661.0769230769201</v>
      </c>
      <c r="J36" s="4">
        <v>6035.3846153846198</v>
      </c>
      <c r="K36" s="4">
        <v>1311.5384615384601</v>
      </c>
      <c r="L36" s="7" t="s">
        <v>39</v>
      </c>
      <c r="M36" s="4">
        <f>SUMIFS(FinanceData[[#This Row],[Amount]],FinanceData[[#This Row],[Indicator]],"Income")</f>
        <v>0</v>
      </c>
      <c r="N36" s="4">
        <f>SUMIFS(FinanceData[[#This Row],[Amount]],FinanceData[[#This Row],[Indicator]],"Expense")</f>
        <v>3661.0769230769201</v>
      </c>
      <c r="O36" s="16">
        <f>IFERROR(FinanceData[[#This Row],[Savings]]/FinanceData[[#This Row],[Total Income]],0)</f>
        <v>0</v>
      </c>
    </row>
    <row r="37" spans="1:15" ht="15" thickBot="1" x14ac:dyDescent="0.35">
      <c r="A37" s="6">
        <v>46037</v>
      </c>
      <c r="B37" s="4" t="str">
        <f>TEXT(FinanceData[[#This Row],[Date]],"mmm")</f>
        <v>Jan</v>
      </c>
      <c r="C37" s="4" t="s">
        <v>40</v>
      </c>
      <c r="D37" s="4" t="s">
        <v>22</v>
      </c>
      <c r="E37" s="4" t="s">
        <v>14</v>
      </c>
      <c r="F37" s="4" t="s">
        <v>24</v>
      </c>
      <c r="G37" s="4">
        <v>3473.3076923076901</v>
      </c>
      <c r="H37" s="4" t="s">
        <v>16</v>
      </c>
      <c r="I37" s="4">
        <f>FinanceData[[#This Row],[Total Income]]-FinanceData[[#This Row],[Total Expense]]</f>
        <v>3473.3076923076901</v>
      </c>
      <c r="J37" s="4">
        <v>5851.5384615384701</v>
      </c>
      <c r="K37" s="4">
        <v>1292.1538461538501</v>
      </c>
      <c r="L37" s="7" t="s">
        <v>41</v>
      </c>
      <c r="M37" s="4">
        <f>SUMIFS(FinanceData[[#This Row],[Amount]],FinanceData[[#This Row],[Indicator]],"Income")</f>
        <v>3473.3076923076901</v>
      </c>
      <c r="N37" s="4">
        <f>SUMIFS(FinanceData[[#This Row],[Amount]],FinanceData[[#This Row],[Indicator]],"Expense")</f>
        <v>0</v>
      </c>
      <c r="O37" s="16">
        <f>IFERROR(FinanceData[[#This Row],[Savings]]/FinanceData[[#This Row],[Total Income]],0)</f>
        <v>1</v>
      </c>
    </row>
    <row r="38" spans="1:15" ht="15" thickBot="1" x14ac:dyDescent="0.35">
      <c r="A38" s="6">
        <v>46038</v>
      </c>
      <c r="B38" s="4" t="str">
        <f>TEXT(FinanceData[[#This Row],[Date]],"mmm")</f>
        <v>Jan</v>
      </c>
      <c r="C38" s="4" t="s">
        <v>14</v>
      </c>
      <c r="D38" s="4" t="s">
        <v>22</v>
      </c>
      <c r="E38" s="4" t="s">
        <v>23</v>
      </c>
      <c r="F38" s="4" t="s">
        <v>24</v>
      </c>
      <c r="G38" s="4">
        <v>3285.5384615384601</v>
      </c>
      <c r="H38" s="4" t="s">
        <v>20</v>
      </c>
      <c r="I38" s="4">
        <f>FinanceData[[#This Row],[Total Income]]-FinanceData[[#This Row],[Total Expense]]</f>
        <v>-3285.5384615384601</v>
      </c>
      <c r="J38" s="4">
        <v>5667.6923076923104</v>
      </c>
      <c r="K38" s="4">
        <v>1272.76923076923</v>
      </c>
      <c r="L38" s="7" t="s">
        <v>42</v>
      </c>
      <c r="M38" s="4">
        <f>SUMIFS(FinanceData[[#This Row],[Amount]],FinanceData[[#This Row],[Indicator]],"Income")</f>
        <v>0</v>
      </c>
      <c r="N38" s="4">
        <f>SUMIFS(FinanceData[[#This Row],[Amount]],FinanceData[[#This Row],[Indicator]],"Expense")</f>
        <v>3285.5384615384601</v>
      </c>
      <c r="O38" s="16">
        <f>IFERROR(FinanceData[[#This Row],[Savings]]/FinanceData[[#This Row],[Total Income]],0)</f>
        <v>0</v>
      </c>
    </row>
    <row r="39" spans="1:15" ht="15" thickBot="1" x14ac:dyDescent="0.35">
      <c r="A39" s="6">
        <v>46040</v>
      </c>
      <c r="B39" s="4" t="str">
        <f>TEXT(FinanceData[[#This Row],[Date]],"mmm")</f>
        <v>Jan</v>
      </c>
      <c r="C39" s="4" t="s">
        <v>14</v>
      </c>
      <c r="D39" s="4" t="s">
        <v>22</v>
      </c>
      <c r="E39" s="4" t="s">
        <v>23</v>
      </c>
      <c r="F39" s="4" t="s">
        <v>24</v>
      </c>
      <c r="G39" s="4">
        <v>3097.76923076923</v>
      </c>
      <c r="H39" s="4" t="s">
        <v>20</v>
      </c>
      <c r="I39" s="4">
        <f>FinanceData[[#This Row],[Total Income]]-FinanceData[[#This Row],[Total Expense]]</f>
        <v>-3097.76923076923</v>
      </c>
      <c r="J39" s="4">
        <v>5483.8461538461597</v>
      </c>
      <c r="K39" s="4">
        <v>1253.38461538462</v>
      </c>
      <c r="L39" s="7" t="s">
        <v>44</v>
      </c>
      <c r="M39" s="4">
        <f>SUMIFS(FinanceData[[#This Row],[Amount]],FinanceData[[#This Row],[Indicator]],"Income")</f>
        <v>0</v>
      </c>
      <c r="N39" s="4">
        <f>SUMIFS(FinanceData[[#This Row],[Amount]],FinanceData[[#This Row],[Indicator]],"Expense")</f>
        <v>3097.76923076923</v>
      </c>
      <c r="O39" s="16">
        <f>IFERROR(FinanceData[[#This Row],[Savings]]/FinanceData[[#This Row],[Total Income]],0)</f>
        <v>0</v>
      </c>
    </row>
    <row r="40" spans="1:15" ht="15" thickBot="1" x14ac:dyDescent="0.35">
      <c r="A40" s="6">
        <v>46042</v>
      </c>
      <c r="B40" s="4" t="str">
        <f>TEXT(FinanceData[[#This Row],[Date]],"mmm")</f>
        <v>Jan</v>
      </c>
      <c r="C40" s="4" t="s">
        <v>14</v>
      </c>
      <c r="D40" s="4" t="s">
        <v>22</v>
      </c>
      <c r="E40" s="4" t="s">
        <v>23</v>
      </c>
      <c r="F40" s="4" t="s">
        <v>24</v>
      </c>
      <c r="G40" s="4">
        <v>2910</v>
      </c>
      <c r="H40" s="4" t="s">
        <v>20</v>
      </c>
      <c r="I40" s="4">
        <f>FinanceData[[#This Row],[Total Income]]-FinanceData[[#This Row],[Total Expense]]</f>
        <v>-2910</v>
      </c>
      <c r="J40" s="4">
        <v>5300</v>
      </c>
      <c r="K40" s="4">
        <v>1234</v>
      </c>
      <c r="L40" s="7" t="s">
        <v>45</v>
      </c>
      <c r="M40" s="4">
        <f>SUMIFS(FinanceData[[#This Row],[Amount]],FinanceData[[#This Row],[Indicator]],"Income")</f>
        <v>0</v>
      </c>
      <c r="N40" s="4">
        <f>SUMIFS(FinanceData[[#This Row],[Amount]],FinanceData[[#This Row],[Indicator]],"Expense")</f>
        <v>2910</v>
      </c>
      <c r="O40" s="16">
        <f>IFERROR(FinanceData[[#This Row],[Savings]]/FinanceData[[#This Row],[Total Income]],0)</f>
        <v>0</v>
      </c>
    </row>
    <row r="41" spans="1:15" ht="15" thickBot="1" x14ac:dyDescent="0.35">
      <c r="A41" s="6">
        <v>46044</v>
      </c>
      <c r="B41" s="4" t="str">
        <f>TEXT(FinanceData[[#This Row],[Date]],"mmm")</f>
        <v>Jan</v>
      </c>
      <c r="C41" s="4" t="s">
        <v>14</v>
      </c>
      <c r="D41" s="4" t="s">
        <v>22</v>
      </c>
      <c r="E41" s="4" t="s">
        <v>19</v>
      </c>
      <c r="F41" s="4" t="s">
        <v>24</v>
      </c>
      <c r="G41" s="4">
        <v>2722.23076923077</v>
      </c>
      <c r="H41" s="4" t="s">
        <v>20</v>
      </c>
      <c r="I41" s="4">
        <f>FinanceData[[#This Row],[Total Income]]-FinanceData[[#This Row],[Total Expense]]</f>
        <v>-2722.23076923077</v>
      </c>
      <c r="J41" s="4">
        <v>5116.1538461538503</v>
      </c>
      <c r="K41" s="4">
        <v>1214.61538461538</v>
      </c>
      <c r="L41" s="7" t="s">
        <v>47</v>
      </c>
      <c r="M41" s="4">
        <f>SUMIFS(FinanceData[[#This Row],[Amount]],FinanceData[[#This Row],[Indicator]],"Income")</f>
        <v>0</v>
      </c>
      <c r="N41" s="4">
        <f>SUMIFS(FinanceData[[#This Row],[Amount]],FinanceData[[#This Row],[Indicator]],"Expense")</f>
        <v>2722.23076923077</v>
      </c>
      <c r="O41" s="16">
        <f>IFERROR(FinanceData[[#This Row],[Savings]]/FinanceData[[#This Row],[Total Income]],0)</f>
        <v>0</v>
      </c>
    </row>
    <row r="42" spans="1:15" ht="15" thickBot="1" x14ac:dyDescent="0.35">
      <c r="A42" s="6">
        <v>46046</v>
      </c>
      <c r="B42" s="4" t="str">
        <f>TEXT(FinanceData[[#This Row],[Date]],"mmm")</f>
        <v>Jan</v>
      </c>
      <c r="C42" s="4" t="s">
        <v>14</v>
      </c>
      <c r="D42" s="4" t="s">
        <v>22</v>
      </c>
      <c r="E42" s="4" t="s">
        <v>23</v>
      </c>
      <c r="F42" s="4" t="s">
        <v>24</v>
      </c>
      <c r="G42" s="4">
        <v>2534.4615384615399</v>
      </c>
      <c r="H42" s="4" t="s">
        <v>20</v>
      </c>
      <c r="I42" s="4">
        <f>FinanceData[[#This Row],[Total Income]]-FinanceData[[#This Row],[Total Expense]]</f>
        <v>-2534.4615384615399</v>
      </c>
      <c r="J42" s="4">
        <v>4932.3076923076997</v>
      </c>
      <c r="K42" s="4">
        <v>1195.23076923077</v>
      </c>
      <c r="L42" s="7" t="s">
        <v>48</v>
      </c>
      <c r="M42" s="4">
        <f>SUMIFS(FinanceData[[#This Row],[Amount]],FinanceData[[#This Row],[Indicator]],"Income")</f>
        <v>0</v>
      </c>
      <c r="N42" s="4">
        <f>SUMIFS(FinanceData[[#This Row],[Amount]],FinanceData[[#This Row],[Indicator]],"Expense")</f>
        <v>2534.4615384615399</v>
      </c>
      <c r="O42" s="16">
        <f>IFERROR(FinanceData[[#This Row],[Savings]]/FinanceData[[#This Row],[Total Income]],0)</f>
        <v>0</v>
      </c>
    </row>
    <row r="43" spans="1:15" ht="15" thickBot="1" x14ac:dyDescent="0.35">
      <c r="A43" s="6">
        <v>46047</v>
      </c>
      <c r="B43" s="4" t="str">
        <f>TEXT(FinanceData[[#This Row],[Date]],"mmm")</f>
        <v>Jan</v>
      </c>
      <c r="C43" s="4" t="s">
        <v>14</v>
      </c>
      <c r="D43" s="4" t="s">
        <v>22</v>
      </c>
      <c r="E43" s="4" t="s">
        <v>23</v>
      </c>
      <c r="F43" s="4" t="s">
        <v>24</v>
      </c>
      <c r="G43" s="4">
        <v>2346.6923076923099</v>
      </c>
      <c r="H43" s="4" t="s">
        <v>20</v>
      </c>
      <c r="I43" s="4">
        <f>FinanceData[[#This Row],[Total Income]]-FinanceData[[#This Row],[Total Expense]]</f>
        <v>-2346.6923076923099</v>
      </c>
      <c r="J43" s="4">
        <v>4748.4615384615399</v>
      </c>
      <c r="K43" s="4">
        <v>1175.8461538461499</v>
      </c>
      <c r="L43" s="7" t="s">
        <v>32</v>
      </c>
      <c r="M43" s="4">
        <f>SUMIFS(FinanceData[[#This Row],[Amount]],FinanceData[[#This Row],[Indicator]],"Income")</f>
        <v>0</v>
      </c>
      <c r="N43" s="4">
        <f>SUMIFS(FinanceData[[#This Row],[Amount]],FinanceData[[#This Row],[Indicator]],"Expense")</f>
        <v>2346.6923076923099</v>
      </c>
      <c r="O43" s="16">
        <f>IFERROR(FinanceData[[#This Row],[Savings]]/FinanceData[[#This Row],[Total Income]],0)</f>
        <v>0</v>
      </c>
    </row>
    <row r="44" spans="1:15" ht="15" thickBot="1" x14ac:dyDescent="0.35">
      <c r="A44" s="6">
        <v>46048</v>
      </c>
      <c r="B44" s="4" t="str">
        <f>TEXT(FinanceData[[#This Row],[Date]],"mmm")</f>
        <v>Jan</v>
      </c>
      <c r="C44" s="4" t="s">
        <v>14</v>
      </c>
      <c r="D44" s="4" t="s">
        <v>22</v>
      </c>
      <c r="E44" s="4" t="s">
        <v>23</v>
      </c>
      <c r="F44" s="4" t="s">
        <v>24</v>
      </c>
      <c r="G44" s="4">
        <v>2158.9230769230799</v>
      </c>
      <c r="H44" s="4" t="s">
        <v>20</v>
      </c>
      <c r="I44" s="4">
        <f>FinanceData[[#This Row],[Total Income]]-FinanceData[[#This Row],[Total Expense]]</f>
        <v>-2158.9230769230799</v>
      </c>
      <c r="J44" s="4">
        <v>4564.6153846153902</v>
      </c>
      <c r="K44" s="4">
        <v>1156.4615384615399</v>
      </c>
      <c r="L44" s="7" t="s">
        <v>49</v>
      </c>
      <c r="M44" s="4">
        <f>SUMIFS(FinanceData[[#This Row],[Amount]],FinanceData[[#This Row],[Indicator]],"Income")</f>
        <v>0</v>
      </c>
      <c r="N44" s="4">
        <f>SUMIFS(FinanceData[[#This Row],[Amount]],FinanceData[[#This Row],[Indicator]],"Expense")</f>
        <v>2158.9230769230799</v>
      </c>
      <c r="O44" s="16">
        <f>IFERROR(FinanceData[[#This Row],[Savings]]/FinanceData[[#This Row],[Total Income]],0)</f>
        <v>0</v>
      </c>
    </row>
    <row r="45" spans="1:15" ht="15" thickBot="1" x14ac:dyDescent="0.35">
      <c r="A45" s="6">
        <v>46050</v>
      </c>
      <c r="B45" s="4" t="str">
        <f>TEXT(FinanceData[[#This Row],[Date]],"mmm")</f>
        <v>Jan</v>
      </c>
      <c r="C45" s="4" t="s">
        <v>14</v>
      </c>
      <c r="D45" s="4" t="s">
        <v>22</v>
      </c>
      <c r="E45" s="4" t="s">
        <v>23</v>
      </c>
      <c r="F45" s="4" t="s">
        <v>24</v>
      </c>
      <c r="G45" s="4">
        <v>1971.1538461538501</v>
      </c>
      <c r="H45" s="4" t="s">
        <v>20</v>
      </c>
      <c r="I45" s="4">
        <f>FinanceData[[#This Row],[Total Income]]-FinanceData[[#This Row],[Total Expense]]</f>
        <v>-1971.1538461538501</v>
      </c>
      <c r="J45" s="4">
        <v>4380.7692307692296</v>
      </c>
      <c r="K45" s="4">
        <v>1137.0769230769199</v>
      </c>
      <c r="L45" s="7" t="s">
        <v>50</v>
      </c>
      <c r="M45" s="4">
        <f>SUMIFS(FinanceData[[#This Row],[Amount]],FinanceData[[#This Row],[Indicator]],"Income")</f>
        <v>0</v>
      </c>
      <c r="N45" s="4">
        <f>SUMIFS(FinanceData[[#This Row],[Amount]],FinanceData[[#This Row],[Indicator]],"Expense")</f>
        <v>1971.1538461538501</v>
      </c>
      <c r="O45" s="16">
        <f>IFERROR(FinanceData[[#This Row],[Savings]]/FinanceData[[#This Row],[Total Income]],0)</f>
        <v>0</v>
      </c>
    </row>
    <row r="46" spans="1:15" ht="15" thickBot="1" x14ac:dyDescent="0.35">
      <c r="A46" s="6">
        <v>46052</v>
      </c>
      <c r="B46" s="4" t="str">
        <f>TEXT(FinanceData[[#This Row],[Date]],"mmm")</f>
        <v>Jan</v>
      </c>
      <c r="C46" s="4" t="s">
        <v>14</v>
      </c>
      <c r="D46" s="4" t="s">
        <v>22</v>
      </c>
      <c r="E46" s="4" t="s">
        <v>19</v>
      </c>
      <c r="F46" s="4" t="s">
        <v>24</v>
      </c>
      <c r="G46" s="4">
        <v>1783.38461538461</v>
      </c>
      <c r="H46" s="4" t="s">
        <v>20</v>
      </c>
      <c r="I46" s="4">
        <f>FinanceData[[#This Row],[Total Income]]-FinanceData[[#This Row],[Total Expense]]</f>
        <v>-1783.38461538461</v>
      </c>
      <c r="J46" s="4">
        <v>4196.9230769230799</v>
      </c>
      <c r="K46" s="4">
        <v>1117.6923076923099</v>
      </c>
      <c r="L46" s="7" t="s">
        <v>52</v>
      </c>
      <c r="M46" s="4">
        <f>SUMIFS(FinanceData[[#This Row],[Amount]],FinanceData[[#This Row],[Indicator]],"Income")</f>
        <v>0</v>
      </c>
      <c r="N46" s="4">
        <f>SUMIFS(FinanceData[[#This Row],[Amount]],FinanceData[[#This Row],[Indicator]],"Expense")</f>
        <v>1783.38461538461</v>
      </c>
      <c r="O46" s="16">
        <f>IFERROR(FinanceData[[#This Row],[Savings]]/FinanceData[[#This Row],[Total Income]],0)</f>
        <v>0</v>
      </c>
    </row>
    <row r="47" spans="1:15" ht="15" thickBot="1" x14ac:dyDescent="0.35">
      <c r="A47" s="6">
        <v>46054</v>
      </c>
      <c r="B47" s="4" t="str">
        <f>TEXT(FinanceData[[#This Row],[Date]],"mmm")</f>
        <v>Feb</v>
      </c>
      <c r="C47" s="4" t="s">
        <v>13</v>
      </c>
      <c r="D47" s="4" t="s">
        <v>22</v>
      </c>
      <c r="E47" s="4" t="s">
        <v>14</v>
      </c>
      <c r="F47" s="4" t="s">
        <v>24</v>
      </c>
      <c r="G47" s="4">
        <v>1595.61538461538</v>
      </c>
      <c r="H47" s="4" t="s">
        <v>16</v>
      </c>
      <c r="I47" s="4">
        <f>FinanceData[[#This Row],[Total Income]]-FinanceData[[#This Row],[Total Expense]]</f>
        <v>1595.61538461538</v>
      </c>
      <c r="J47" s="4">
        <v>4013.0769230769301</v>
      </c>
      <c r="K47" s="4">
        <v>1098.3076923076901</v>
      </c>
      <c r="L47" s="7" t="s">
        <v>17</v>
      </c>
      <c r="M47" s="4">
        <f>SUMIFS(FinanceData[[#This Row],[Amount]],FinanceData[[#This Row],[Indicator]],"Income")</f>
        <v>1595.61538461538</v>
      </c>
      <c r="N47" s="4">
        <f>SUMIFS(FinanceData[[#This Row],[Amount]],FinanceData[[#This Row],[Indicator]],"Expense")</f>
        <v>0</v>
      </c>
      <c r="O47" s="16">
        <f>IFERROR(FinanceData[[#This Row],[Savings]]/FinanceData[[#This Row],[Total Income]],0)</f>
        <v>1</v>
      </c>
    </row>
    <row r="48" spans="1:15" ht="15" thickBot="1" x14ac:dyDescent="0.35">
      <c r="A48" s="6">
        <v>46055</v>
      </c>
      <c r="B48" s="4" t="str">
        <f>TEXT(FinanceData[[#This Row],[Date]],"mmm")</f>
        <v>Feb</v>
      </c>
      <c r="C48" s="4" t="s">
        <v>14</v>
      </c>
      <c r="D48" s="4" t="s">
        <v>22</v>
      </c>
      <c r="E48" s="4" t="s">
        <v>19</v>
      </c>
      <c r="F48" s="4" t="s">
        <v>24</v>
      </c>
      <c r="G48" s="4">
        <v>1407.8461538461499</v>
      </c>
      <c r="H48" s="4" t="s">
        <v>20</v>
      </c>
      <c r="I48" s="4">
        <f>FinanceData[[#This Row],[Total Income]]-FinanceData[[#This Row],[Total Expense]]</f>
        <v>-1407.8461538461499</v>
      </c>
      <c r="J48" s="4">
        <v>3829.23076923077</v>
      </c>
      <c r="K48" s="4">
        <v>1078.9230769230801</v>
      </c>
      <c r="L48" s="7" t="s">
        <v>21</v>
      </c>
      <c r="M48" s="4">
        <f>SUMIFS(FinanceData[[#This Row],[Amount]],FinanceData[[#This Row],[Indicator]],"Income")</f>
        <v>0</v>
      </c>
      <c r="N48" s="4">
        <f>SUMIFS(FinanceData[[#This Row],[Amount]],FinanceData[[#This Row],[Indicator]],"Expense")</f>
        <v>1407.8461538461499</v>
      </c>
      <c r="O48" s="16">
        <f>IFERROR(FinanceData[[#This Row],[Savings]]/FinanceData[[#This Row],[Total Income]],0)</f>
        <v>0</v>
      </c>
    </row>
    <row r="49" spans="1:15" ht="15" thickBot="1" x14ac:dyDescent="0.35">
      <c r="A49" s="6">
        <v>46057</v>
      </c>
      <c r="B49" s="4" t="str">
        <f>TEXT(FinanceData[[#This Row],[Date]],"mmm")</f>
        <v>Feb</v>
      </c>
      <c r="C49" s="4" t="s">
        <v>14</v>
      </c>
      <c r="D49" s="4" t="s">
        <v>22</v>
      </c>
      <c r="E49" s="4" t="s">
        <v>23</v>
      </c>
      <c r="F49" s="4" t="s">
        <v>24</v>
      </c>
      <c r="G49" s="4">
        <v>1220.0769230769199</v>
      </c>
      <c r="H49" s="4" t="s">
        <v>20</v>
      </c>
      <c r="I49" s="4">
        <f>FinanceData[[#This Row],[Total Income]]-FinanceData[[#This Row],[Total Expense]]</f>
        <v>-1220.0769230769199</v>
      </c>
      <c r="J49" s="4">
        <v>3645.3846153846198</v>
      </c>
      <c r="K49" s="4">
        <v>1059.5384615384601</v>
      </c>
      <c r="L49" s="7" t="s">
        <v>25</v>
      </c>
      <c r="M49" s="4">
        <f>SUMIFS(FinanceData[[#This Row],[Amount]],FinanceData[[#This Row],[Indicator]],"Income")</f>
        <v>0</v>
      </c>
      <c r="N49" s="4">
        <f>SUMIFS(FinanceData[[#This Row],[Amount]],FinanceData[[#This Row],[Indicator]],"Expense")</f>
        <v>1220.0769230769199</v>
      </c>
      <c r="O49" s="16">
        <f>IFERROR(FinanceData[[#This Row],[Savings]]/FinanceData[[#This Row],[Total Income]],0)</f>
        <v>0</v>
      </c>
    </row>
    <row r="50" spans="1:15" ht="15" thickBot="1" x14ac:dyDescent="0.35">
      <c r="A50" s="6">
        <v>46059</v>
      </c>
      <c r="B50" s="4" t="str">
        <f>TEXT(FinanceData[[#This Row],[Date]],"mmm")</f>
        <v>Feb</v>
      </c>
      <c r="C50" s="4" t="s">
        <v>26</v>
      </c>
      <c r="D50" s="4" t="s">
        <v>22</v>
      </c>
      <c r="E50" s="4" t="s">
        <v>14</v>
      </c>
      <c r="F50" s="4" t="s">
        <v>24</v>
      </c>
      <c r="G50" s="4">
        <v>1032.3076923076901</v>
      </c>
      <c r="H50" s="4" t="s">
        <v>16</v>
      </c>
      <c r="I50" s="4">
        <f>FinanceData[[#This Row],[Total Income]]-FinanceData[[#This Row],[Total Expense]]</f>
        <v>1032.3076923076901</v>
      </c>
      <c r="J50" s="4">
        <v>3461.5384615384701</v>
      </c>
      <c r="K50" s="4">
        <v>1040.1538461538501</v>
      </c>
      <c r="L50" s="7" t="s">
        <v>54</v>
      </c>
      <c r="M50" s="4">
        <f>SUMIFS(FinanceData[[#This Row],[Amount]],FinanceData[[#This Row],[Indicator]],"Income")</f>
        <v>1032.3076923076901</v>
      </c>
      <c r="N50" s="4">
        <f>SUMIFS(FinanceData[[#This Row],[Amount]],FinanceData[[#This Row],[Indicator]],"Expense")</f>
        <v>0</v>
      </c>
      <c r="O50" s="16">
        <f>IFERROR(FinanceData[[#This Row],[Savings]]/FinanceData[[#This Row],[Total Income]],0)</f>
        <v>1</v>
      </c>
    </row>
    <row r="51" spans="1:15" ht="15" thickBot="1" x14ac:dyDescent="0.35">
      <c r="A51" s="6">
        <v>46061</v>
      </c>
      <c r="B51" s="4" t="str">
        <f>TEXT(FinanceData[[#This Row],[Date]],"mmm")</f>
        <v>Feb</v>
      </c>
      <c r="C51" s="4" t="s">
        <v>14</v>
      </c>
      <c r="D51" s="4" t="s">
        <v>22</v>
      </c>
      <c r="E51" s="4" t="s">
        <v>23</v>
      </c>
      <c r="F51" s="4" t="s">
        <v>24</v>
      </c>
      <c r="G51" s="4">
        <v>844.53846153845905</v>
      </c>
      <c r="H51" s="4" t="s">
        <v>20</v>
      </c>
      <c r="I51" s="4">
        <f>FinanceData[[#This Row],[Total Income]]-FinanceData[[#This Row],[Total Expense]]</f>
        <v>-844.53846153845905</v>
      </c>
      <c r="J51" s="4">
        <v>3277.6923076922999</v>
      </c>
      <c r="K51" s="4">
        <v>1020.76923076923</v>
      </c>
      <c r="L51" s="7" t="s">
        <v>55</v>
      </c>
      <c r="M51" s="4">
        <f>SUMIFS(FinanceData[[#This Row],[Amount]],FinanceData[[#This Row],[Indicator]],"Income")</f>
        <v>0</v>
      </c>
      <c r="N51" s="4">
        <f>SUMIFS(FinanceData[[#This Row],[Amount]],FinanceData[[#This Row],[Indicator]],"Expense")</f>
        <v>844.53846153845905</v>
      </c>
      <c r="O51" s="16">
        <f>IFERROR(FinanceData[[#This Row],[Savings]]/FinanceData[[#This Row],[Total Income]],0)</f>
        <v>0</v>
      </c>
    </row>
    <row r="52" spans="1:15" ht="15" thickBot="1" x14ac:dyDescent="0.35">
      <c r="A52" s="6">
        <v>46023</v>
      </c>
      <c r="B52" s="4" t="str">
        <f>TEXT(FinanceData[[#This Row],[Date]],"mmm")</f>
        <v>Jan</v>
      </c>
      <c r="C52" s="4" t="s">
        <v>13</v>
      </c>
      <c r="D52" s="4" t="s">
        <v>22</v>
      </c>
      <c r="E52" s="4" t="s">
        <v>14</v>
      </c>
      <c r="F52" s="4" t="s">
        <v>24</v>
      </c>
      <c r="G52" s="4">
        <v>656.76923076922901</v>
      </c>
      <c r="H52" s="4" t="s">
        <v>16</v>
      </c>
      <c r="I52" s="4">
        <f>FinanceData[[#This Row],[Total Income]]-FinanceData[[#This Row],[Total Expense]]</f>
        <v>656.76923076922901</v>
      </c>
      <c r="J52" s="4">
        <v>3093.8461538461602</v>
      </c>
      <c r="K52" s="4">
        <v>1001.38461538461</v>
      </c>
      <c r="L52" s="7" t="s">
        <v>17</v>
      </c>
      <c r="M52" s="4">
        <f>SUMIFS(FinanceData[[#This Row],[Amount]],FinanceData[[#This Row],[Indicator]],"Income")</f>
        <v>656.76923076922901</v>
      </c>
      <c r="N52" s="4">
        <f>SUMIFS(FinanceData[[#This Row],[Amount]],FinanceData[[#This Row],[Indicator]],"Expense")</f>
        <v>0</v>
      </c>
      <c r="O52" s="16">
        <f>IFERROR(FinanceData[[#This Row],[Savings]]/FinanceData[[#This Row],[Total Income]],0)</f>
        <v>1</v>
      </c>
    </row>
    <row r="53" spans="1:15" ht="15" thickBot="1" x14ac:dyDescent="0.35">
      <c r="A53" s="6">
        <v>46024</v>
      </c>
      <c r="B53" s="4" t="str">
        <f>TEXT(FinanceData[[#This Row],[Date]],"mmm")</f>
        <v>Jan</v>
      </c>
      <c r="C53" s="4" t="s">
        <v>14</v>
      </c>
      <c r="D53" s="4" t="s">
        <v>22</v>
      </c>
      <c r="E53" s="4" t="s">
        <v>19</v>
      </c>
      <c r="F53" s="4" t="s">
        <v>24</v>
      </c>
      <c r="G53" s="4">
        <v>469</v>
      </c>
      <c r="H53" s="4" t="s">
        <v>20</v>
      </c>
      <c r="I53" s="4">
        <f>FinanceData[[#This Row],[Total Income]]-FinanceData[[#This Row],[Total Expense]]</f>
        <v>-469</v>
      </c>
      <c r="J53" s="4">
        <v>2910</v>
      </c>
      <c r="K53" s="4">
        <v>982</v>
      </c>
      <c r="L53" s="7" t="s">
        <v>21</v>
      </c>
      <c r="M53" s="4">
        <f>SUMIFS(FinanceData[[#This Row],[Amount]],FinanceData[[#This Row],[Indicator]],"Income")</f>
        <v>0</v>
      </c>
      <c r="N53" s="4">
        <f>SUMIFS(FinanceData[[#This Row],[Amount]],FinanceData[[#This Row],[Indicator]],"Expense")</f>
        <v>469</v>
      </c>
      <c r="O53" s="16">
        <f>IFERROR(FinanceData[[#This Row],[Savings]]/FinanceData[[#This Row],[Total Income]],0)</f>
        <v>0</v>
      </c>
    </row>
    <row r="54" spans="1:15" ht="15" thickBot="1" x14ac:dyDescent="0.35">
      <c r="A54" s="6">
        <v>46025</v>
      </c>
      <c r="B54" s="4" t="str">
        <f>TEXT(FinanceData[[#This Row],[Date]],"mmm")</f>
        <v>Jan</v>
      </c>
      <c r="C54" s="4" t="s">
        <v>14</v>
      </c>
      <c r="D54" s="4" t="s">
        <v>22</v>
      </c>
      <c r="E54" s="4" t="s">
        <v>23</v>
      </c>
      <c r="F54" s="4" t="s">
        <v>24</v>
      </c>
      <c r="G54" s="4">
        <v>281.23076923077002</v>
      </c>
      <c r="H54" s="4" t="s">
        <v>20</v>
      </c>
      <c r="I54" s="4">
        <f>FinanceData[[#This Row],[Total Income]]-FinanceData[[#This Row],[Total Expense]]</f>
        <v>-281.23076923077002</v>
      </c>
      <c r="J54" s="4">
        <v>2726.1538461538498</v>
      </c>
      <c r="K54" s="4">
        <v>962.61538461538498</v>
      </c>
      <c r="L54" s="7" t="s">
        <v>25</v>
      </c>
      <c r="M54" s="4">
        <f>SUMIFS(FinanceData[[#This Row],[Amount]],FinanceData[[#This Row],[Indicator]],"Income")</f>
        <v>0</v>
      </c>
      <c r="N54" s="4">
        <f>SUMIFS(FinanceData[[#This Row],[Amount]],FinanceData[[#This Row],[Indicator]],"Expense")</f>
        <v>281.23076923077002</v>
      </c>
      <c r="O54" s="16">
        <f>IFERROR(FinanceData[[#This Row],[Savings]]/FinanceData[[#This Row],[Total Income]],0)</f>
        <v>0</v>
      </c>
    </row>
    <row r="55" spans="1:15" ht="15" thickBot="1" x14ac:dyDescent="0.35">
      <c r="A55" s="6">
        <v>46026</v>
      </c>
      <c r="B55" s="4" t="str">
        <f>TEXT(FinanceData[[#This Row],[Date]],"mmm")</f>
        <v>Jan</v>
      </c>
      <c r="C55" s="4" t="s">
        <v>26</v>
      </c>
      <c r="D55" s="4" t="s">
        <v>22</v>
      </c>
      <c r="E55" s="4" t="s">
        <v>14</v>
      </c>
      <c r="F55" s="4" t="s">
        <v>24</v>
      </c>
      <c r="G55" s="4">
        <v>93.461538461539007</v>
      </c>
      <c r="H55" s="4" t="s">
        <v>16</v>
      </c>
      <c r="I55" s="4">
        <f>FinanceData[[#This Row],[Total Income]]-FinanceData[[#This Row],[Total Expense]]</f>
        <v>93.461538461539007</v>
      </c>
      <c r="J55" s="4">
        <v>2542.3076923077001</v>
      </c>
      <c r="K55" s="4">
        <v>943.23076923076496</v>
      </c>
      <c r="L55" s="7" t="s">
        <v>27</v>
      </c>
      <c r="M55" s="4">
        <f>SUMIFS(FinanceData[[#This Row],[Amount]],FinanceData[[#This Row],[Indicator]],"Income")</f>
        <v>93.461538461539007</v>
      </c>
      <c r="N55" s="4">
        <f>SUMIFS(FinanceData[[#This Row],[Amount]],FinanceData[[#This Row],[Indicator]],"Expense")</f>
        <v>0</v>
      </c>
      <c r="O55" s="16">
        <f>IFERROR(FinanceData[[#This Row],[Savings]]/FinanceData[[#This Row],[Total Income]],0)</f>
        <v>1</v>
      </c>
    </row>
    <row r="56" spans="1:15" ht="15" thickBot="1" x14ac:dyDescent="0.35">
      <c r="A56" s="6">
        <v>46027</v>
      </c>
      <c r="B56" s="4" t="str">
        <f>TEXT(FinanceData[[#This Row],[Date]],"mmm")</f>
        <v>Jan</v>
      </c>
      <c r="C56" s="4" t="s">
        <v>14</v>
      </c>
      <c r="D56" s="4" t="s">
        <v>22</v>
      </c>
      <c r="E56" s="4" t="s">
        <v>19</v>
      </c>
      <c r="F56" s="4" t="s">
        <v>24</v>
      </c>
      <c r="G56" s="4">
        <v>-94.307692307729695</v>
      </c>
      <c r="H56" s="4" t="s">
        <v>20</v>
      </c>
      <c r="I56" s="4">
        <f>FinanceData[[#This Row],[Total Income]]-FinanceData[[#This Row],[Total Expense]]</f>
        <v>94.307692307729695</v>
      </c>
      <c r="J56" s="4">
        <v>2358.4615384615399</v>
      </c>
      <c r="K56" s="4">
        <v>923.84615384615404</v>
      </c>
      <c r="L56" s="7" t="s">
        <v>29</v>
      </c>
      <c r="M56" s="4">
        <f>SUMIFS(FinanceData[[#This Row],[Amount]],FinanceData[[#This Row],[Indicator]],"Income")</f>
        <v>0</v>
      </c>
      <c r="N56" s="4">
        <f>SUMIFS(FinanceData[[#This Row],[Amount]],FinanceData[[#This Row],[Indicator]],"Expense")</f>
        <v>-94.307692307729695</v>
      </c>
      <c r="O56" s="16">
        <f>IFERROR(FinanceData[[#This Row],[Savings]]/FinanceData[[#This Row],[Total Income]],0)</f>
        <v>0</v>
      </c>
    </row>
    <row r="57" spans="1:15" ht="15" thickBot="1" x14ac:dyDescent="0.35">
      <c r="A57" s="6">
        <v>46029</v>
      </c>
      <c r="B57" s="4" t="str">
        <f>TEXT(FinanceData[[#This Row],[Date]],"mmm")</f>
        <v>Jan</v>
      </c>
      <c r="C57" s="4" t="s">
        <v>14</v>
      </c>
      <c r="D57" s="4" t="s">
        <v>22</v>
      </c>
      <c r="E57" s="4" t="s">
        <v>23</v>
      </c>
      <c r="F57" s="4" t="s">
        <v>24</v>
      </c>
      <c r="G57" s="4">
        <v>-282.076923076931</v>
      </c>
      <c r="H57" s="4" t="s">
        <v>20</v>
      </c>
      <c r="I57" s="4">
        <f>FinanceData[[#This Row],[Total Income]]-FinanceData[[#This Row],[Total Expense]]</f>
        <v>282.076923076931</v>
      </c>
      <c r="J57" s="4">
        <v>2174.6153846153502</v>
      </c>
      <c r="K57" s="4">
        <v>904.46153846153402</v>
      </c>
      <c r="L57" s="7" t="s">
        <v>32</v>
      </c>
      <c r="M57" s="4">
        <f>SUMIFS(FinanceData[[#This Row],[Amount]],FinanceData[[#This Row],[Indicator]],"Income")</f>
        <v>0</v>
      </c>
      <c r="N57" s="4">
        <f>SUMIFS(FinanceData[[#This Row],[Amount]],FinanceData[[#This Row],[Indicator]],"Expense")</f>
        <v>-282.076923076931</v>
      </c>
      <c r="O57" s="16">
        <f>IFERROR(FinanceData[[#This Row],[Savings]]/FinanceData[[#This Row],[Total Income]],0)</f>
        <v>0</v>
      </c>
    </row>
    <row r="58" spans="1:15" ht="15" thickBot="1" x14ac:dyDescent="0.35">
      <c r="A58" s="6">
        <v>46030</v>
      </c>
      <c r="B58" s="4" t="str">
        <f>TEXT(FinanceData[[#This Row],[Date]],"mmm")</f>
        <v>Jan</v>
      </c>
      <c r="C58" s="4" t="s">
        <v>14</v>
      </c>
      <c r="D58" s="4" t="s">
        <v>22</v>
      </c>
      <c r="E58" s="4" t="s">
        <v>23</v>
      </c>
      <c r="F58" s="4" t="s">
        <v>24</v>
      </c>
      <c r="G58" s="4">
        <v>-469.84615384613102</v>
      </c>
      <c r="H58" s="4" t="s">
        <v>20</v>
      </c>
      <c r="I58" s="4">
        <f>FinanceData[[#This Row],[Total Income]]-FinanceData[[#This Row],[Total Expense]]</f>
        <v>469.84615384613102</v>
      </c>
      <c r="J58" s="4">
        <v>1990.76923076925</v>
      </c>
      <c r="K58" s="4">
        <v>885.076923076924</v>
      </c>
      <c r="L58" s="7" t="s">
        <v>33</v>
      </c>
      <c r="M58" s="4">
        <f>SUMIFS(FinanceData[[#This Row],[Amount]],FinanceData[[#This Row],[Indicator]],"Income")</f>
        <v>0</v>
      </c>
      <c r="N58" s="4">
        <f>SUMIFS(FinanceData[[#This Row],[Amount]],FinanceData[[#This Row],[Indicator]],"Expense")</f>
        <v>-469.84615384613102</v>
      </c>
      <c r="O58" s="16">
        <f>IFERROR(FinanceData[[#This Row],[Savings]]/FinanceData[[#This Row],[Total Income]],0)</f>
        <v>0</v>
      </c>
    </row>
    <row r="59" spans="1:15" ht="15" thickBot="1" x14ac:dyDescent="0.35">
      <c r="A59" s="6">
        <v>46032</v>
      </c>
      <c r="B59" s="4" t="str">
        <f>TEXT(FinanceData[[#This Row],[Date]],"mmm")</f>
        <v>Jan</v>
      </c>
      <c r="C59" s="4" t="s">
        <v>14</v>
      </c>
      <c r="D59" s="4" t="s">
        <v>22</v>
      </c>
      <c r="E59" s="4" t="s">
        <v>23</v>
      </c>
      <c r="F59" s="4" t="s">
        <v>24</v>
      </c>
      <c r="G59" s="4">
        <v>-657.61538461543</v>
      </c>
      <c r="H59" s="4" t="s">
        <v>20</v>
      </c>
      <c r="I59" s="4">
        <f>FinanceData[[#This Row],[Total Income]]-FinanceData[[#This Row],[Total Expense]]</f>
        <v>657.61538461543</v>
      </c>
      <c r="J59" s="4">
        <v>1806.9230769230501</v>
      </c>
      <c r="K59" s="4">
        <v>865.69230769230398</v>
      </c>
      <c r="L59" s="7" t="s">
        <v>36</v>
      </c>
      <c r="M59" s="4">
        <f>SUMIFS(FinanceData[[#This Row],[Amount]],FinanceData[[#This Row],[Indicator]],"Income")</f>
        <v>0</v>
      </c>
      <c r="N59" s="4">
        <f>SUMIFS(FinanceData[[#This Row],[Amount]],FinanceData[[#This Row],[Indicator]],"Expense")</f>
        <v>-657.61538461543</v>
      </c>
      <c r="O59" s="16">
        <f>IFERROR(FinanceData[[#This Row],[Savings]]/FinanceData[[#This Row],[Total Income]],0)</f>
        <v>0</v>
      </c>
    </row>
    <row r="60" spans="1:15" ht="15" thickBot="1" x14ac:dyDescent="0.35">
      <c r="A60" s="6">
        <v>46034</v>
      </c>
      <c r="B60" s="4" t="str">
        <f>TEXT(FinanceData[[#This Row],[Date]],"mmm")</f>
        <v>Jan</v>
      </c>
      <c r="C60" s="4" t="s">
        <v>14</v>
      </c>
      <c r="D60" s="4" t="s">
        <v>22</v>
      </c>
      <c r="E60" s="4" t="s">
        <v>23</v>
      </c>
      <c r="F60" s="4" t="s">
        <v>24</v>
      </c>
      <c r="G60" s="4">
        <v>-845.38461538463002</v>
      </c>
      <c r="H60" s="4" t="s">
        <v>20</v>
      </c>
      <c r="I60" s="4">
        <f>FinanceData[[#This Row],[Total Income]]-FinanceData[[#This Row],[Total Expense]]</f>
        <v>845.38461538463002</v>
      </c>
      <c r="J60" s="4">
        <v>1623.0769230769499</v>
      </c>
      <c r="K60" s="4">
        <v>846.30769230769397</v>
      </c>
      <c r="L60" s="7" t="s">
        <v>38</v>
      </c>
      <c r="M60" s="4">
        <f>SUMIFS(FinanceData[[#This Row],[Amount]],FinanceData[[#This Row],[Indicator]],"Income")</f>
        <v>0</v>
      </c>
      <c r="N60" s="4">
        <f>SUMIFS(FinanceData[[#This Row],[Amount]],FinanceData[[#This Row],[Indicator]],"Expense")</f>
        <v>-845.38461538463002</v>
      </c>
      <c r="O60" s="16">
        <f>IFERROR(FinanceData[[#This Row],[Savings]]/FinanceData[[#This Row],[Total Income]],0)</f>
        <v>0</v>
      </c>
    </row>
    <row r="61" spans="1:15" ht="15" thickBot="1" x14ac:dyDescent="0.35">
      <c r="A61" s="6">
        <v>46036</v>
      </c>
      <c r="B61" s="4" t="str">
        <f>TEXT(FinanceData[[#This Row],[Date]],"mmm")</f>
        <v>Jan</v>
      </c>
      <c r="C61" s="4" t="s">
        <v>14</v>
      </c>
      <c r="D61" s="4" t="s">
        <v>22</v>
      </c>
      <c r="E61" s="4" t="s">
        <v>23</v>
      </c>
      <c r="F61" s="4" t="s">
        <v>24</v>
      </c>
      <c r="G61" s="4">
        <v>-1033.15384615383</v>
      </c>
      <c r="H61" s="4" t="s">
        <v>20</v>
      </c>
      <c r="I61" s="4">
        <f>FinanceData[[#This Row],[Total Income]]-FinanceData[[#This Row],[Total Expense]]</f>
        <v>1033.15384615383</v>
      </c>
      <c r="J61" s="4">
        <v>1439.23076923075</v>
      </c>
      <c r="K61" s="4">
        <v>826.92307692307497</v>
      </c>
      <c r="L61" s="7" t="s">
        <v>39</v>
      </c>
      <c r="M61" s="4">
        <f>SUMIFS(FinanceData[[#This Row],[Amount]],FinanceData[[#This Row],[Indicator]],"Income")</f>
        <v>0</v>
      </c>
      <c r="N61" s="4">
        <f>SUMIFS(FinanceData[[#This Row],[Amount]],FinanceData[[#This Row],[Indicator]],"Expense")</f>
        <v>-1033.15384615383</v>
      </c>
      <c r="O61" s="16">
        <f>IFERROR(FinanceData[[#This Row],[Savings]]/FinanceData[[#This Row],[Total Income]],0)</f>
        <v>0</v>
      </c>
    </row>
    <row r="62" spans="1:15" ht="15" thickBot="1" x14ac:dyDescent="0.35">
      <c r="A62" s="6">
        <v>46037</v>
      </c>
      <c r="B62" s="4" t="str">
        <f>TEXT(FinanceData[[#This Row],[Date]],"mmm")</f>
        <v>Jan</v>
      </c>
      <c r="C62" s="4" t="s">
        <v>40</v>
      </c>
      <c r="D62" s="4" t="s">
        <v>22</v>
      </c>
      <c r="E62" s="4" t="s">
        <v>14</v>
      </c>
      <c r="F62" s="4" t="s">
        <v>24</v>
      </c>
      <c r="G62" s="4">
        <v>-1220.9230769230301</v>
      </c>
      <c r="H62" s="4" t="s">
        <v>16</v>
      </c>
      <c r="I62" s="4">
        <f>FinanceData[[#This Row],[Total Income]]-FinanceData[[#This Row],[Total Expense]]</f>
        <v>-1220.9230769230301</v>
      </c>
      <c r="J62" s="4">
        <v>1255.38461538465</v>
      </c>
      <c r="K62" s="4">
        <v>807.53846153846496</v>
      </c>
      <c r="L62" s="7" t="s">
        <v>41</v>
      </c>
      <c r="M62" s="4">
        <f>SUMIFS(FinanceData[[#This Row],[Amount]],FinanceData[[#This Row],[Indicator]],"Income")</f>
        <v>-1220.9230769230301</v>
      </c>
      <c r="N62" s="4">
        <f>SUMIFS(FinanceData[[#This Row],[Amount]],FinanceData[[#This Row],[Indicator]],"Expense")</f>
        <v>0</v>
      </c>
      <c r="O62" s="16">
        <f>IFERROR(FinanceData[[#This Row],[Savings]]/FinanceData[[#This Row],[Total Income]],0)</f>
        <v>1</v>
      </c>
    </row>
    <row r="63" spans="1:15" ht="15" thickBot="1" x14ac:dyDescent="0.35">
      <c r="A63" s="6">
        <v>46038</v>
      </c>
      <c r="B63" s="4" t="str">
        <f>TEXT(FinanceData[[#This Row],[Date]],"mmm")</f>
        <v>Jan</v>
      </c>
      <c r="C63" s="4" t="s">
        <v>14</v>
      </c>
      <c r="D63" s="4" t="s">
        <v>22</v>
      </c>
      <c r="E63" s="4" t="s">
        <v>23</v>
      </c>
      <c r="F63" s="4" t="s">
        <v>24</v>
      </c>
      <c r="G63" s="4">
        <v>-1408.6923076923299</v>
      </c>
      <c r="H63" s="4" t="s">
        <v>20</v>
      </c>
      <c r="I63" s="4">
        <f>FinanceData[[#This Row],[Total Income]]-FinanceData[[#This Row],[Total Expense]]</f>
        <v>1408.6923076923299</v>
      </c>
      <c r="J63" s="4">
        <v>1071.5384615384501</v>
      </c>
      <c r="K63" s="4">
        <v>788.15384615384505</v>
      </c>
      <c r="L63" s="7" t="s">
        <v>42</v>
      </c>
      <c r="M63" s="4">
        <f>SUMIFS(FinanceData[[#This Row],[Amount]],FinanceData[[#This Row],[Indicator]],"Income")</f>
        <v>0</v>
      </c>
      <c r="N63" s="4">
        <f>SUMIFS(FinanceData[[#This Row],[Amount]],FinanceData[[#This Row],[Indicator]],"Expense")</f>
        <v>-1408.6923076923299</v>
      </c>
      <c r="O63" s="16">
        <f>IFERROR(FinanceData[[#This Row],[Savings]]/FinanceData[[#This Row],[Total Income]],0)</f>
        <v>0</v>
      </c>
    </row>
    <row r="64" spans="1:15" ht="15" thickBot="1" x14ac:dyDescent="0.35">
      <c r="A64" s="6">
        <v>46040</v>
      </c>
      <c r="B64" s="4" t="str">
        <f>TEXT(FinanceData[[#This Row],[Date]],"mmm")</f>
        <v>Jan</v>
      </c>
      <c r="C64" s="4" t="s">
        <v>14</v>
      </c>
      <c r="D64" s="4" t="s">
        <v>22</v>
      </c>
      <c r="E64" s="4" t="s">
        <v>23</v>
      </c>
      <c r="F64" s="4" t="s">
        <v>24</v>
      </c>
      <c r="G64" s="4">
        <v>-1596.4615384615299</v>
      </c>
      <c r="H64" s="4" t="s">
        <v>20</v>
      </c>
      <c r="I64" s="4">
        <f>FinanceData[[#This Row],[Total Income]]-FinanceData[[#This Row],[Total Expense]]</f>
        <v>1596.4615384615299</v>
      </c>
      <c r="J64" s="4">
        <v>887.69230769234503</v>
      </c>
      <c r="K64" s="4">
        <v>768.76923076923504</v>
      </c>
      <c r="L64" s="7" t="s">
        <v>44</v>
      </c>
      <c r="M64" s="4">
        <f>SUMIFS(FinanceData[[#This Row],[Amount]],FinanceData[[#This Row],[Indicator]],"Income")</f>
        <v>0</v>
      </c>
      <c r="N64" s="4">
        <f>SUMIFS(FinanceData[[#This Row],[Amount]],FinanceData[[#This Row],[Indicator]],"Expense")</f>
        <v>-1596.4615384615299</v>
      </c>
      <c r="O64" s="16">
        <f>IFERROR(FinanceData[[#This Row],[Savings]]/FinanceData[[#This Row],[Total Income]],0)</f>
        <v>0</v>
      </c>
    </row>
    <row r="65" spans="1:15" ht="15" thickBot="1" x14ac:dyDescent="0.35">
      <c r="A65" s="6">
        <v>46042</v>
      </c>
      <c r="B65" s="4" t="str">
        <f>TEXT(FinanceData[[#This Row],[Date]],"mmm")</f>
        <v>Jan</v>
      </c>
      <c r="C65" s="4" t="s">
        <v>14</v>
      </c>
      <c r="D65" s="4" t="s">
        <v>22</v>
      </c>
      <c r="E65" s="4" t="s">
        <v>23</v>
      </c>
      <c r="F65" s="4" t="s">
        <v>24</v>
      </c>
      <c r="G65" s="4">
        <v>-1784.2307692307299</v>
      </c>
      <c r="H65" s="4" t="s">
        <v>20</v>
      </c>
      <c r="I65" s="4">
        <f>FinanceData[[#This Row],[Total Income]]-FinanceData[[#This Row],[Total Expense]]</f>
        <v>1784.2307692307299</v>
      </c>
      <c r="J65" s="4">
        <v>703.84615384614494</v>
      </c>
      <c r="K65" s="4">
        <v>749.38461538461502</v>
      </c>
      <c r="L65" s="7" t="s">
        <v>45</v>
      </c>
      <c r="M65" s="4">
        <f>SUMIFS(FinanceData[[#This Row],[Amount]],FinanceData[[#This Row],[Indicator]],"Income")</f>
        <v>0</v>
      </c>
      <c r="N65" s="4">
        <f>SUMIFS(FinanceData[[#This Row],[Amount]],FinanceData[[#This Row],[Indicator]],"Expense")</f>
        <v>-1784.2307692307299</v>
      </c>
      <c r="O65" s="16">
        <f>IFERROR(FinanceData[[#This Row],[Savings]]/FinanceData[[#This Row],[Total Income]],0)</f>
        <v>0</v>
      </c>
    </row>
    <row r="66" spans="1:15" ht="15" thickBot="1" x14ac:dyDescent="0.35">
      <c r="A66" s="6">
        <v>46044</v>
      </c>
      <c r="B66" s="4" t="str">
        <f>TEXT(FinanceData[[#This Row],[Date]],"mmm")</f>
        <v>Jan</v>
      </c>
      <c r="C66" s="4" t="s">
        <v>14</v>
      </c>
      <c r="D66" s="4" t="s">
        <v>22</v>
      </c>
      <c r="E66" s="4" t="s">
        <v>19</v>
      </c>
      <c r="F66" s="4" t="s">
        <v>24</v>
      </c>
      <c r="G66" s="4">
        <v>-1972.00000000003</v>
      </c>
      <c r="H66" s="4" t="s">
        <v>20</v>
      </c>
      <c r="I66" s="4">
        <f>FinanceData[[#This Row],[Total Income]]-FinanceData[[#This Row],[Total Expense]]</f>
        <v>1972.00000000003</v>
      </c>
      <c r="J66" s="4">
        <v>520.00000000004502</v>
      </c>
      <c r="K66" s="4">
        <v>730.000000000005</v>
      </c>
      <c r="L66" s="7" t="s">
        <v>47</v>
      </c>
      <c r="M66" s="4">
        <f>SUMIFS(FinanceData[[#This Row],[Amount]],FinanceData[[#This Row],[Indicator]],"Income")</f>
        <v>0</v>
      </c>
      <c r="N66" s="4">
        <f>SUMIFS(FinanceData[[#This Row],[Amount]],FinanceData[[#This Row],[Indicator]],"Expense")</f>
        <v>-1972.00000000003</v>
      </c>
      <c r="O66" s="16">
        <f>IFERROR(FinanceData[[#This Row],[Savings]]/FinanceData[[#This Row],[Total Income]],0)</f>
        <v>0</v>
      </c>
    </row>
    <row r="67" spans="1:15" ht="15" thickBot="1" x14ac:dyDescent="0.35">
      <c r="A67" s="6">
        <v>46046</v>
      </c>
      <c r="B67" s="4" t="str">
        <f>TEXT(FinanceData[[#This Row],[Date]],"mmm")</f>
        <v>Jan</v>
      </c>
      <c r="C67" s="4" t="s">
        <v>14</v>
      </c>
      <c r="D67" s="4" t="s">
        <v>22</v>
      </c>
      <c r="E67" s="4" t="s">
        <v>23</v>
      </c>
      <c r="F67" s="4" t="s">
        <v>24</v>
      </c>
      <c r="G67" s="4">
        <v>-2159.76923076923</v>
      </c>
      <c r="H67" s="4" t="s">
        <v>20</v>
      </c>
      <c r="I67" s="4">
        <f>FinanceData[[#This Row],[Total Income]]-FinanceData[[#This Row],[Total Expense]]</f>
        <v>2159.76923076923</v>
      </c>
      <c r="J67" s="4">
        <v>336.15384615384602</v>
      </c>
      <c r="K67" s="4">
        <v>710.61538461538498</v>
      </c>
      <c r="L67" s="7" t="s">
        <v>48</v>
      </c>
      <c r="M67" s="4">
        <f>SUMIFS(FinanceData[[#This Row],[Amount]],FinanceData[[#This Row],[Indicator]],"Income")</f>
        <v>0</v>
      </c>
      <c r="N67" s="4">
        <f>SUMIFS(FinanceData[[#This Row],[Amount]],FinanceData[[#This Row],[Indicator]],"Expense")</f>
        <v>-2159.76923076923</v>
      </c>
      <c r="O67" s="16">
        <f>IFERROR(FinanceData[[#This Row],[Savings]]/FinanceData[[#This Row],[Total Income]],0)</f>
        <v>0</v>
      </c>
    </row>
    <row r="68" spans="1:15" ht="15" thickBot="1" x14ac:dyDescent="0.35">
      <c r="A68" s="6">
        <v>46047</v>
      </c>
      <c r="B68" s="4" t="str">
        <f>TEXT(FinanceData[[#This Row],[Date]],"mmm")</f>
        <v>Jan</v>
      </c>
      <c r="C68" s="4" t="s">
        <v>14</v>
      </c>
      <c r="D68" s="4" t="s">
        <v>22</v>
      </c>
      <c r="E68" s="4" t="s">
        <v>23</v>
      </c>
      <c r="F68" s="4" t="s">
        <v>24</v>
      </c>
      <c r="G68" s="4">
        <v>-2347.5384615384301</v>
      </c>
      <c r="H68" s="4" t="s">
        <v>20</v>
      </c>
      <c r="I68" s="4">
        <f>FinanceData[[#This Row],[Total Income]]-FinanceData[[#This Row],[Total Expense]]</f>
        <v>2347.5384615384301</v>
      </c>
      <c r="J68" s="4">
        <v>152.30769230764599</v>
      </c>
      <c r="K68" s="4">
        <v>691.23076923076496</v>
      </c>
      <c r="L68" s="7" t="s">
        <v>32</v>
      </c>
      <c r="M68" s="4">
        <f>SUMIFS(FinanceData[[#This Row],[Amount]],FinanceData[[#This Row],[Indicator]],"Income")</f>
        <v>0</v>
      </c>
      <c r="N68" s="4">
        <f>SUMIFS(FinanceData[[#This Row],[Amount]],FinanceData[[#This Row],[Indicator]],"Expense")</f>
        <v>-2347.5384615384301</v>
      </c>
      <c r="O68" s="16">
        <f>IFERROR(FinanceData[[#This Row],[Savings]]/FinanceData[[#This Row],[Total Income]],0)</f>
        <v>0</v>
      </c>
    </row>
    <row r="69" spans="1:15" ht="15" thickBot="1" x14ac:dyDescent="0.35">
      <c r="A69" s="6">
        <v>46048</v>
      </c>
      <c r="B69" s="4" t="str">
        <f>TEXT(FinanceData[[#This Row],[Date]],"mmm")</f>
        <v>Jan</v>
      </c>
      <c r="C69" s="4" t="s">
        <v>14</v>
      </c>
      <c r="D69" s="4" t="s">
        <v>22</v>
      </c>
      <c r="E69" s="4" t="s">
        <v>23</v>
      </c>
      <c r="F69" s="4" t="s">
        <v>24</v>
      </c>
      <c r="G69" s="4">
        <v>-2535.3076923077301</v>
      </c>
      <c r="H69" s="4" t="s">
        <v>20</v>
      </c>
      <c r="I69" s="4">
        <f>FinanceData[[#This Row],[Total Income]]-FinanceData[[#This Row],[Total Expense]]</f>
        <v>2535.3076923077301</v>
      </c>
      <c r="J69" s="4">
        <v>-31.538461538453699</v>
      </c>
      <c r="K69" s="4">
        <v>671.84615384615404</v>
      </c>
      <c r="L69" s="7" t="s">
        <v>49</v>
      </c>
      <c r="M69" s="4">
        <f>SUMIFS(FinanceData[[#This Row],[Amount]],FinanceData[[#This Row],[Indicator]],"Income")</f>
        <v>0</v>
      </c>
      <c r="N69" s="4">
        <f>SUMIFS(FinanceData[[#This Row],[Amount]],FinanceData[[#This Row],[Indicator]],"Expense")</f>
        <v>-2535.3076923077301</v>
      </c>
      <c r="O69" s="16">
        <f>IFERROR(FinanceData[[#This Row],[Savings]]/FinanceData[[#This Row],[Total Income]],0)</f>
        <v>0</v>
      </c>
    </row>
    <row r="70" spans="1:15" ht="15" thickBot="1" x14ac:dyDescent="0.35">
      <c r="A70" s="6">
        <v>46050</v>
      </c>
      <c r="B70" s="4" t="str">
        <f>TEXT(FinanceData[[#This Row],[Date]],"mmm")</f>
        <v>Jan</v>
      </c>
      <c r="C70" s="4" t="s">
        <v>14</v>
      </c>
      <c r="D70" s="4" t="s">
        <v>22</v>
      </c>
      <c r="E70" s="4" t="s">
        <v>23</v>
      </c>
      <c r="F70" s="4" t="s">
        <v>24</v>
      </c>
      <c r="G70" s="4">
        <v>-2723.0769230769301</v>
      </c>
      <c r="H70" s="4" t="s">
        <v>20</v>
      </c>
      <c r="I70" s="4">
        <f>FinanceData[[#This Row],[Total Income]]-FinanceData[[#This Row],[Total Expense]]</f>
        <v>2723.0769230769301</v>
      </c>
      <c r="J70" s="4">
        <v>-215.38461538465299</v>
      </c>
      <c r="K70" s="4">
        <v>652.46153846153402</v>
      </c>
      <c r="L70" s="7" t="s">
        <v>50</v>
      </c>
      <c r="M70" s="4">
        <f>SUMIFS(FinanceData[[#This Row],[Amount]],FinanceData[[#This Row],[Indicator]],"Income")</f>
        <v>0</v>
      </c>
      <c r="N70" s="4">
        <f>SUMIFS(FinanceData[[#This Row],[Amount]],FinanceData[[#This Row],[Indicator]],"Expense")</f>
        <v>-2723.0769230769301</v>
      </c>
      <c r="O70" s="16">
        <f>IFERROR(FinanceData[[#This Row],[Savings]]/FinanceData[[#This Row],[Total Income]],0)</f>
        <v>0</v>
      </c>
    </row>
    <row r="71" spans="1:15" ht="15" thickBot="1" x14ac:dyDescent="0.35">
      <c r="A71" s="6">
        <v>46052</v>
      </c>
      <c r="B71" s="4" t="str">
        <f>TEXT(FinanceData[[#This Row],[Date]],"mmm")</f>
        <v>Jan</v>
      </c>
      <c r="C71" s="4" t="s">
        <v>14</v>
      </c>
      <c r="D71" s="4" t="s">
        <v>22</v>
      </c>
      <c r="E71" s="4" t="s">
        <v>19</v>
      </c>
      <c r="F71" s="4" t="s">
        <v>24</v>
      </c>
      <c r="G71" s="4">
        <v>-2910.8461538461302</v>
      </c>
      <c r="H71" s="4" t="s">
        <v>20</v>
      </c>
      <c r="I71" s="4">
        <f>FinanceData[[#This Row],[Total Income]]-FinanceData[[#This Row],[Total Expense]]</f>
        <v>2910.8461538461302</v>
      </c>
      <c r="J71" s="4">
        <v>-399.23076923075502</v>
      </c>
      <c r="K71" s="4">
        <v>633.076923076924</v>
      </c>
      <c r="L71" s="7" t="s">
        <v>52</v>
      </c>
      <c r="M71" s="4">
        <f>SUMIFS(FinanceData[[#This Row],[Amount]],FinanceData[[#This Row],[Indicator]],"Income")</f>
        <v>0</v>
      </c>
      <c r="N71" s="4">
        <f>SUMIFS(FinanceData[[#This Row],[Amount]],FinanceData[[#This Row],[Indicator]],"Expense")</f>
        <v>-2910.8461538461302</v>
      </c>
      <c r="O71" s="16">
        <f>IFERROR(FinanceData[[#This Row],[Savings]]/FinanceData[[#This Row],[Total Income]],0)</f>
        <v>0</v>
      </c>
    </row>
    <row r="72" spans="1:15" ht="15" thickBot="1" x14ac:dyDescent="0.35">
      <c r="A72" s="6">
        <v>46054</v>
      </c>
      <c r="B72" s="4" t="str">
        <f>TEXT(FinanceData[[#This Row],[Date]],"mmm")</f>
        <v>Feb</v>
      </c>
      <c r="C72" s="4" t="s">
        <v>13</v>
      </c>
      <c r="D72" s="4" t="s">
        <v>22</v>
      </c>
      <c r="E72" s="4" t="s">
        <v>14</v>
      </c>
      <c r="F72" s="4" t="s">
        <v>24</v>
      </c>
      <c r="G72" s="4">
        <v>-3098.6153846154298</v>
      </c>
      <c r="H72" s="4" t="s">
        <v>16</v>
      </c>
      <c r="I72" s="4">
        <f>FinanceData[[#This Row],[Total Income]]-FinanceData[[#This Row],[Total Expense]]</f>
        <v>-3098.6153846154298</v>
      </c>
      <c r="J72" s="4">
        <v>-583.07692307695504</v>
      </c>
      <c r="K72" s="4">
        <v>613.69230769230398</v>
      </c>
      <c r="L72" s="7" t="s">
        <v>17</v>
      </c>
      <c r="M72" s="4">
        <f>SUMIFS(FinanceData[[#This Row],[Amount]],FinanceData[[#This Row],[Indicator]],"Income")</f>
        <v>-3098.6153846154298</v>
      </c>
      <c r="N72" s="4">
        <f>SUMIFS(FinanceData[[#This Row],[Amount]],FinanceData[[#This Row],[Indicator]],"Expense")</f>
        <v>0</v>
      </c>
      <c r="O72" s="16">
        <f>IFERROR(FinanceData[[#This Row],[Savings]]/FinanceData[[#This Row],[Total Income]],0)</f>
        <v>1</v>
      </c>
    </row>
    <row r="73" spans="1:15" ht="15" thickBot="1" x14ac:dyDescent="0.35">
      <c r="A73" s="6">
        <v>46055</v>
      </c>
      <c r="B73" s="4" t="str">
        <f>TEXT(FinanceData[[#This Row],[Date]],"mmm")</f>
        <v>Feb</v>
      </c>
      <c r="C73" s="4" t="s">
        <v>14</v>
      </c>
      <c r="D73" s="4" t="s">
        <v>22</v>
      </c>
      <c r="E73" s="4" t="s">
        <v>19</v>
      </c>
      <c r="F73" s="4" t="s">
        <v>24</v>
      </c>
      <c r="G73" s="4">
        <v>-3286.3846153846298</v>
      </c>
      <c r="H73" s="4" t="s">
        <v>20</v>
      </c>
      <c r="I73" s="4">
        <f>FinanceData[[#This Row],[Total Income]]-FinanceData[[#This Row],[Total Expense]]</f>
        <v>3286.3846153846298</v>
      </c>
      <c r="J73" s="4">
        <v>-766.92307692305405</v>
      </c>
      <c r="K73" s="4">
        <v>594.30769230769397</v>
      </c>
      <c r="L73" s="7" t="s">
        <v>21</v>
      </c>
      <c r="M73" s="4">
        <f>SUMIFS(FinanceData[[#This Row],[Amount]],FinanceData[[#This Row],[Indicator]],"Income")</f>
        <v>0</v>
      </c>
      <c r="N73" s="4">
        <f>SUMIFS(FinanceData[[#This Row],[Amount]],FinanceData[[#This Row],[Indicator]],"Expense")</f>
        <v>-3286.3846153846298</v>
      </c>
      <c r="O73" s="16">
        <f>IFERROR(FinanceData[[#This Row],[Savings]]/FinanceData[[#This Row],[Total Income]],0)</f>
        <v>0</v>
      </c>
    </row>
    <row r="74" spans="1:15" ht="15" thickBot="1" x14ac:dyDescent="0.35">
      <c r="A74" s="6">
        <v>46057</v>
      </c>
      <c r="B74" s="4" t="str">
        <f>TEXT(FinanceData[[#This Row],[Date]],"mmm")</f>
        <v>Feb</v>
      </c>
      <c r="C74" s="4" t="s">
        <v>14</v>
      </c>
      <c r="D74" s="4" t="s">
        <v>22</v>
      </c>
      <c r="E74" s="4" t="s">
        <v>23</v>
      </c>
      <c r="F74" s="4" t="s">
        <v>24</v>
      </c>
      <c r="G74" s="4">
        <v>-3474.1538461538298</v>
      </c>
      <c r="H74" s="4" t="s">
        <v>20</v>
      </c>
      <c r="I74" s="4">
        <f>FinanceData[[#This Row],[Total Income]]-FinanceData[[#This Row],[Total Expense]]</f>
        <v>3474.1538461538298</v>
      </c>
      <c r="J74" s="4">
        <v>-950.76923076925402</v>
      </c>
      <c r="K74" s="4">
        <v>574.92307692307497</v>
      </c>
      <c r="L74" s="7" t="s">
        <v>25</v>
      </c>
      <c r="M74" s="4">
        <f>SUMIFS(FinanceData[[#This Row],[Amount]],FinanceData[[#This Row],[Indicator]],"Income")</f>
        <v>0</v>
      </c>
      <c r="N74" s="4">
        <f>SUMIFS(FinanceData[[#This Row],[Amount]],FinanceData[[#This Row],[Indicator]],"Expense")</f>
        <v>-3474.1538461538298</v>
      </c>
      <c r="O74" s="16">
        <f>IFERROR(FinanceData[[#This Row],[Savings]]/FinanceData[[#This Row],[Total Income]],0)</f>
        <v>0</v>
      </c>
    </row>
    <row r="75" spans="1:15" ht="15" thickBot="1" x14ac:dyDescent="0.35">
      <c r="A75" s="6">
        <v>46059</v>
      </c>
      <c r="B75" s="4" t="str">
        <f>TEXT(FinanceData[[#This Row],[Date]],"mmm")</f>
        <v>Feb</v>
      </c>
      <c r="C75" s="4" t="s">
        <v>26</v>
      </c>
      <c r="D75" s="4" t="s">
        <v>22</v>
      </c>
      <c r="E75" s="4" t="s">
        <v>14</v>
      </c>
      <c r="F75" s="4" t="s">
        <v>24</v>
      </c>
      <c r="G75" s="4">
        <v>-3661.9230769230298</v>
      </c>
      <c r="H75" s="4" t="s">
        <v>16</v>
      </c>
      <c r="I75" s="4">
        <f>FinanceData[[#This Row],[Total Income]]-FinanceData[[#This Row],[Total Expense]]</f>
        <v>-3661.9230769230298</v>
      </c>
      <c r="J75" s="4">
        <v>-1134.61538461535</v>
      </c>
      <c r="K75" s="4">
        <v>555.53846153846496</v>
      </c>
      <c r="L75" s="7" t="s">
        <v>54</v>
      </c>
      <c r="M75" s="4">
        <f>SUMIFS(FinanceData[[#This Row],[Amount]],FinanceData[[#This Row],[Indicator]],"Income")</f>
        <v>-3661.9230769230298</v>
      </c>
      <c r="N75" s="4">
        <f>SUMIFS(FinanceData[[#This Row],[Amount]],FinanceData[[#This Row],[Indicator]],"Expense")</f>
        <v>0</v>
      </c>
      <c r="O75" s="16">
        <f>IFERROR(FinanceData[[#This Row],[Savings]]/FinanceData[[#This Row],[Total Income]],0)</f>
        <v>1</v>
      </c>
    </row>
    <row r="76" spans="1:15" ht="15" thickBot="1" x14ac:dyDescent="0.35">
      <c r="A76" s="6">
        <v>46061</v>
      </c>
      <c r="B76" s="4" t="str">
        <f>TEXT(FinanceData[[#This Row],[Date]],"mmm")</f>
        <v>Feb</v>
      </c>
      <c r="C76" s="4" t="s">
        <v>14</v>
      </c>
      <c r="D76" s="4" t="s">
        <v>22</v>
      </c>
      <c r="E76" s="4" t="s">
        <v>23</v>
      </c>
      <c r="F76" s="4" t="s">
        <v>24</v>
      </c>
      <c r="G76" s="4">
        <v>-3849.6923076923299</v>
      </c>
      <c r="H76" s="4" t="s">
        <v>20</v>
      </c>
      <c r="I76" s="4">
        <f>FinanceData[[#This Row],[Total Income]]-FinanceData[[#This Row],[Total Expense]]</f>
        <v>3849.6923076923299</v>
      </c>
      <c r="J76" s="4">
        <v>-1318.4615384615499</v>
      </c>
      <c r="K76" s="4">
        <v>536.15384615384505</v>
      </c>
      <c r="L76" s="7" t="s">
        <v>55</v>
      </c>
      <c r="M76" s="4">
        <f>SUMIFS(FinanceData[[#This Row],[Amount]],FinanceData[[#This Row],[Indicator]],"Income")</f>
        <v>0</v>
      </c>
      <c r="N76" s="4">
        <f>SUMIFS(FinanceData[[#This Row],[Amount]],FinanceData[[#This Row],[Indicator]],"Expense")</f>
        <v>-3849.6923076923299</v>
      </c>
      <c r="O76" s="16">
        <f>IFERROR(FinanceData[[#This Row],[Savings]]/FinanceData[[#This Row],[Total Income]],0)</f>
        <v>0</v>
      </c>
    </row>
    <row r="77" spans="1:15" ht="15" thickBot="1" x14ac:dyDescent="0.35">
      <c r="A77" s="6">
        <v>46023</v>
      </c>
      <c r="B77" s="4" t="str">
        <f>TEXT(FinanceData[[#This Row],[Date]],"mmm")</f>
        <v>Jan</v>
      </c>
      <c r="C77" s="4" t="s">
        <v>13</v>
      </c>
      <c r="D77" s="4" t="s">
        <v>22</v>
      </c>
      <c r="E77" s="4" t="s">
        <v>14</v>
      </c>
      <c r="F77" s="4" t="s">
        <v>24</v>
      </c>
      <c r="G77" s="4">
        <v>-4037.4615384615299</v>
      </c>
      <c r="H77" s="4" t="s">
        <v>16</v>
      </c>
      <c r="I77" s="4">
        <f>FinanceData[[#This Row],[Total Income]]-FinanceData[[#This Row],[Total Expense]]</f>
        <v>-4037.4615384615299</v>
      </c>
      <c r="J77" s="4">
        <v>-1502.3076923076601</v>
      </c>
      <c r="K77" s="4">
        <v>516.76923076923504</v>
      </c>
      <c r="L77" s="7" t="s">
        <v>17</v>
      </c>
      <c r="M77" s="4">
        <f>SUMIFS(FinanceData[[#This Row],[Amount]],FinanceData[[#This Row],[Indicator]],"Income")</f>
        <v>-4037.4615384615299</v>
      </c>
      <c r="N77" s="4">
        <f>SUMIFS(FinanceData[[#This Row],[Amount]],FinanceData[[#This Row],[Indicator]],"Expense")</f>
        <v>0</v>
      </c>
      <c r="O77" s="16">
        <f>IFERROR(FinanceData[[#This Row],[Savings]]/FinanceData[[#This Row],[Total Income]],0)</f>
        <v>1</v>
      </c>
    </row>
    <row r="78" spans="1:15" ht="15" thickBot="1" x14ac:dyDescent="0.35">
      <c r="A78" s="6">
        <v>46024</v>
      </c>
      <c r="B78" s="4" t="str">
        <f>TEXT(FinanceData[[#This Row],[Date]],"mmm")</f>
        <v>Jan</v>
      </c>
      <c r="C78" s="4" t="s">
        <v>14</v>
      </c>
      <c r="D78" s="4" t="s">
        <v>22</v>
      </c>
      <c r="E78" s="4" t="s">
        <v>19</v>
      </c>
      <c r="F78" s="4" t="s">
        <v>24</v>
      </c>
      <c r="G78" s="4">
        <v>-4225.2307692307304</v>
      </c>
      <c r="H78" s="4" t="s">
        <v>20</v>
      </c>
      <c r="I78" s="4">
        <f>FinanceData[[#This Row],[Total Income]]-FinanceData[[#This Row],[Total Expense]]</f>
        <v>4225.2307692307304</v>
      </c>
      <c r="J78" s="4">
        <v>-1686.1538461538501</v>
      </c>
      <c r="K78" s="4">
        <v>497.38461538461502</v>
      </c>
      <c r="L78" s="7" t="s">
        <v>21</v>
      </c>
      <c r="M78" s="4">
        <f>SUMIFS(FinanceData[[#This Row],[Amount]],FinanceData[[#This Row],[Indicator]],"Income")</f>
        <v>0</v>
      </c>
      <c r="N78" s="4">
        <f>SUMIFS(FinanceData[[#This Row],[Amount]],FinanceData[[#This Row],[Indicator]],"Expense")</f>
        <v>-4225.2307692307304</v>
      </c>
      <c r="O78" s="16">
        <f>IFERROR(FinanceData[[#This Row],[Savings]]/FinanceData[[#This Row],[Total Income]],0)</f>
        <v>0</v>
      </c>
    </row>
    <row r="79" spans="1:15" ht="15" thickBot="1" x14ac:dyDescent="0.35">
      <c r="A79" s="6">
        <v>46025</v>
      </c>
      <c r="B79" s="4" t="str">
        <f>TEXT(FinanceData[[#This Row],[Date]],"mmm")</f>
        <v>Jan</v>
      </c>
      <c r="C79" s="4" t="s">
        <v>14</v>
      </c>
      <c r="D79" s="4" t="s">
        <v>22</v>
      </c>
      <c r="E79" s="4" t="s">
        <v>23</v>
      </c>
      <c r="F79" s="4" t="s">
        <v>24</v>
      </c>
      <c r="G79" s="4">
        <v>-4413.00000000003</v>
      </c>
      <c r="H79" s="4" t="s">
        <v>20</v>
      </c>
      <c r="I79" s="4">
        <f>FinanceData[[#This Row],[Total Income]]-FinanceData[[#This Row],[Total Expense]]</f>
        <v>4413.00000000003</v>
      </c>
      <c r="J79" s="4">
        <v>-1869.99999999995</v>
      </c>
      <c r="K79" s="4">
        <v>478.000000000005</v>
      </c>
      <c r="L79" s="7" t="s">
        <v>25</v>
      </c>
      <c r="M79" s="4">
        <f>SUMIFS(FinanceData[[#This Row],[Amount]],FinanceData[[#This Row],[Indicator]],"Income")</f>
        <v>0</v>
      </c>
      <c r="N79" s="4">
        <f>SUMIFS(FinanceData[[#This Row],[Amount]],FinanceData[[#This Row],[Indicator]],"Expense")</f>
        <v>-4413.00000000003</v>
      </c>
      <c r="O79" s="16">
        <f>IFERROR(FinanceData[[#This Row],[Savings]]/FinanceData[[#This Row],[Total Income]],0)</f>
        <v>0</v>
      </c>
    </row>
    <row r="80" spans="1:15" ht="15" thickBot="1" x14ac:dyDescent="0.35">
      <c r="A80" s="6">
        <v>46026</v>
      </c>
      <c r="B80" s="4" t="str">
        <f>TEXT(FinanceData[[#This Row],[Date]],"mmm")</f>
        <v>Jan</v>
      </c>
      <c r="C80" s="4" t="s">
        <v>26</v>
      </c>
      <c r="D80" s="4" t="s">
        <v>22</v>
      </c>
      <c r="E80" s="4" t="s">
        <v>14</v>
      </c>
      <c r="F80" s="4" t="s">
        <v>24</v>
      </c>
      <c r="G80" s="4">
        <v>-4600.7692307692296</v>
      </c>
      <c r="H80" s="4" t="s">
        <v>16</v>
      </c>
      <c r="I80" s="4">
        <f>FinanceData[[#This Row],[Total Income]]-FinanceData[[#This Row],[Total Expense]]</f>
        <v>-4600.7692307692296</v>
      </c>
      <c r="J80" s="4">
        <v>-2053.8461538461502</v>
      </c>
      <c r="K80" s="4">
        <v>458.61538461538498</v>
      </c>
      <c r="L80" s="7" t="s">
        <v>27</v>
      </c>
      <c r="M80" s="4">
        <f>SUMIFS(FinanceData[[#This Row],[Amount]],FinanceData[[#This Row],[Indicator]],"Income")</f>
        <v>-4600.7692307692296</v>
      </c>
      <c r="N80" s="4">
        <f>SUMIFS(FinanceData[[#This Row],[Amount]],FinanceData[[#This Row],[Indicator]],"Expense")</f>
        <v>0</v>
      </c>
      <c r="O80" s="16">
        <f>IFERROR(FinanceData[[#This Row],[Savings]]/FinanceData[[#This Row],[Total Income]],0)</f>
        <v>1</v>
      </c>
    </row>
    <row r="81" spans="1:15" ht="15" thickBot="1" x14ac:dyDescent="0.35">
      <c r="A81" s="6">
        <v>46027</v>
      </c>
      <c r="B81" s="4" t="str">
        <f>TEXT(FinanceData[[#This Row],[Date]],"mmm")</f>
        <v>Jan</v>
      </c>
      <c r="C81" s="4" t="s">
        <v>14</v>
      </c>
      <c r="D81" s="4" t="s">
        <v>22</v>
      </c>
      <c r="E81" s="4" t="s">
        <v>19</v>
      </c>
      <c r="F81" s="4" t="s">
        <v>24</v>
      </c>
      <c r="G81" s="4">
        <v>-4788.5384615384301</v>
      </c>
      <c r="H81" s="4" t="s">
        <v>20</v>
      </c>
      <c r="I81" s="4">
        <f>FinanceData[[#This Row],[Total Income]]-FinanceData[[#This Row],[Total Expense]]</f>
        <v>4788.5384615384301</v>
      </c>
      <c r="J81" s="4">
        <v>-2237.6923076923499</v>
      </c>
      <c r="K81" s="4">
        <v>439.23076923076502</v>
      </c>
      <c r="L81" s="7" t="s">
        <v>29</v>
      </c>
      <c r="M81" s="4">
        <f>SUMIFS(FinanceData[[#This Row],[Amount]],FinanceData[[#This Row],[Indicator]],"Income")</f>
        <v>0</v>
      </c>
      <c r="N81" s="4">
        <f>SUMIFS(FinanceData[[#This Row],[Amount]],FinanceData[[#This Row],[Indicator]],"Expense")</f>
        <v>-4788.5384615384301</v>
      </c>
      <c r="O81" s="16">
        <f>IFERROR(FinanceData[[#This Row],[Savings]]/FinanceData[[#This Row],[Total Income]],0)</f>
        <v>0</v>
      </c>
    </row>
    <row r="82" spans="1:15" ht="15" thickBot="1" x14ac:dyDescent="0.35">
      <c r="A82" s="6">
        <v>46029</v>
      </c>
      <c r="B82" s="4" t="str">
        <f>TEXT(FinanceData[[#This Row],[Date]],"mmm")</f>
        <v>Jan</v>
      </c>
      <c r="C82" s="4" t="s">
        <v>14</v>
      </c>
      <c r="D82" s="4" t="s">
        <v>22</v>
      </c>
      <c r="E82" s="4" t="s">
        <v>23</v>
      </c>
      <c r="F82" s="4" t="s">
        <v>24</v>
      </c>
      <c r="G82" s="4">
        <v>-4976.3076923077297</v>
      </c>
      <c r="H82" s="4" t="s">
        <v>20</v>
      </c>
      <c r="I82" s="4">
        <f>FinanceData[[#This Row],[Total Income]]-FinanceData[[#This Row],[Total Expense]]</f>
        <v>4976.3076923077297</v>
      </c>
      <c r="J82" s="4">
        <v>-2421.5384615384501</v>
      </c>
      <c r="K82" s="4">
        <v>419.84615384615398</v>
      </c>
      <c r="L82" s="7" t="s">
        <v>32</v>
      </c>
      <c r="M82" s="4">
        <f>SUMIFS(FinanceData[[#This Row],[Amount]],FinanceData[[#This Row],[Indicator]],"Income")</f>
        <v>0</v>
      </c>
      <c r="N82" s="4">
        <f>SUMIFS(FinanceData[[#This Row],[Amount]],FinanceData[[#This Row],[Indicator]],"Expense")</f>
        <v>-4976.3076923077297</v>
      </c>
      <c r="O82" s="16">
        <f>IFERROR(FinanceData[[#This Row],[Savings]]/FinanceData[[#This Row],[Total Income]],0)</f>
        <v>0</v>
      </c>
    </row>
    <row r="83" spans="1:15" ht="15" thickBot="1" x14ac:dyDescent="0.35">
      <c r="A83" s="6">
        <v>46030</v>
      </c>
      <c r="B83" s="4" t="str">
        <f>TEXT(FinanceData[[#This Row],[Date]],"mmm")</f>
        <v>Jan</v>
      </c>
      <c r="C83" s="4" t="s">
        <v>14</v>
      </c>
      <c r="D83" s="4" t="s">
        <v>22</v>
      </c>
      <c r="E83" s="4" t="s">
        <v>23</v>
      </c>
      <c r="F83" s="4" t="s">
        <v>24</v>
      </c>
      <c r="G83" s="4">
        <v>-5164.0769230769301</v>
      </c>
      <c r="H83" s="4" t="s">
        <v>20</v>
      </c>
      <c r="I83" s="4">
        <f>FinanceData[[#This Row],[Total Income]]-FinanceData[[#This Row],[Total Expense]]</f>
        <v>5164.0769230769301</v>
      </c>
      <c r="J83" s="4">
        <v>-2605.3846153846498</v>
      </c>
      <c r="K83" s="4">
        <v>400.46153846153402</v>
      </c>
      <c r="L83" s="7" t="s">
        <v>33</v>
      </c>
      <c r="M83" s="4">
        <f>SUMIFS(FinanceData[[#This Row],[Amount]],FinanceData[[#This Row],[Indicator]],"Income")</f>
        <v>0</v>
      </c>
      <c r="N83" s="4">
        <f>SUMIFS(FinanceData[[#This Row],[Amount]],FinanceData[[#This Row],[Indicator]],"Expense")</f>
        <v>-5164.0769230769301</v>
      </c>
      <c r="O83" s="16">
        <f>IFERROR(FinanceData[[#This Row],[Savings]]/FinanceData[[#This Row],[Total Income]],0)</f>
        <v>0</v>
      </c>
    </row>
    <row r="84" spans="1:15" ht="15" thickBot="1" x14ac:dyDescent="0.35">
      <c r="A84" s="6">
        <v>46032</v>
      </c>
      <c r="B84" s="4" t="str">
        <f>TEXT(FinanceData[[#This Row],[Date]],"mmm")</f>
        <v>Jan</v>
      </c>
      <c r="C84" s="4" t="s">
        <v>14</v>
      </c>
      <c r="D84" s="4" t="s">
        <v>22</v>
      </c>
      <c r="E84" s="4" t="s">
        <v>23</v>
      </c>
      <c r="F84" s="4" t="s">
        <v>24</v>
      </c>
      <c r="G84" s="4">
        <v>-5351.8461538461297</v>
      </c>
      <c r="H84" s="4" t="s">
        <v>20</v>
      </c>
      <c r="I84" s="4">
        <f>FinanceData[[#This Row],[Total Income]]-FinanceData[[#This Row],[Total Expense]]</f>
        <v>5351.8461538461297</v>
      </c>
      <c r="J84" s="4">
        <v>-2789.23076923075</v>
      </c>
      <c r="K84" s="4">
        <v>381.076923076924</v>
      </c>
      <c r="L84" s="7" t="s">
        <v>36</v>
      </c>
      <c r="M84" s="4">
        <f>SUMIFS(FinanceData[[#This Row],[Amount]],FinanceData[[#This Row],[Indicator]],"Income")</f>
        <v>0</v>
      </c>
      <c r="N84" s="4">
        <f>SUMIFS(FinanceData[[#This Row],[Amount]],FinanceData[[#This Row],[Indicator]],"Expense")</f>
        <v>-5351.8461538461297</v>
      </c>
      <c r="O84" s="16">
        <f>IFERROR(FinanceData[[#This Row],[Savings]]/FinanceData[[#This Row],[Total Income]],0)</f>
        <v>0</v>
      </c>
    </row>
    <row r="85" spans="1:15" ht="15" thickBot="1" x14ac:dyDescent="0.35">
      <c r="A85" s="6">
        <v>46034</v>
      </c>
      <c r="B85" s="4" t="str">
        <f>TEXT(FinanceData[[#This Row],[Date]],"mmm")</f>
        <v>Jan</v>
      </c>
      <c r="C85" s="4" t="s">
        <v>14</v>
      </c>
      <c r="D85" s="4" t="s">
        <v>22</v>
      </c>
      <c r="E85" s="4" t="s">
        <v>23</v>
      </c>
      <c r="F85" s="4" t="s">
        <v>24</v>
      </c>
      <c r="G85" s="4">
        <v>-5539.6153846154302</v>
      </c>
      <c r="H85" s="4" t="s">
        <v>20</v>
      </c>
      <c r="I85" s="4">
        <f>FinanceData[[#This Row],[Total Income]]-FinanceData[[#This Row],[Total Expense]]</f>
        <v>5539.6153846154302</v>
      </c>
      <c r="J85" s="4">
        <v>-2973.0769230769502</v>
      </c>
      <c r="K85" s="4">
        <v>361.69230769230398</v>
      </c>
      <c r="L85" s="7" t="s">
        <v>38</v>
      </c>
      <c r="M85" s="4">
        <f>SUMIFS(FinanceData[[#This Row],[Amount]],FinanceData[[#This Row],[Indicator]],"Income")</f>
        <v>0</v>
      </c>
      <c r="N85" s="4">
        <f>SUMIFS(FinanceData[[#This Row],[Amount]],FinanceData[[#This Row],[Indicator]],"Expense")</f>
        <v>-5539.6153846154302</v>
      </c>
      <c r="O85" s="16">
        <f>IFERROR(FinanceData[[#This Row],[Savings]]/FinanceData[[#This Row],[Total Income]],0)</f>
        <v>0</v>
      </c>
    </row>
    <row r="86" spans="1:15" ht="15" thickBot="1" x14ac:dyDescent="0.35">
      <c r="A86" s="6">
        <v>46036</v>
      </c>
      <c r="B86" s="4" t="str">
        <f>TEXT(FinanceData[[#This Row],[Date]],"mmm")</f>
        <v>Jan</v>
      </c>
      <c r="C86" s="4" t="s">
        <v>14</v>
      </c>
      <c r="D86" s="4" t="s">
        <v>22</v>
      </c>
      <c r="E86" s="4" t="s">
        <v>23</v>
      </c>
      <c r="F86" s="4" t="s">
        <v>24</v>
      </c>
      <c r="G86" s="4">
        <v>-5727.3846153846298</v>
      </c>
      <c r="H86" s="4" t="s">
        <v>20</v>
      </c>
      <c r="I86" s="4">
        <f>FinanceData[[#This Row],[Total Income]]-FinanceData[[#This Row],[Total Expense]]</f>
        <v>5727.3846153846298</v>
      </c>
      <c r="J86" s="4">
        <v>-3156.9230769230498</v>
      </c>
      <c r="K86" s="4">
        <v>342.30769230769403</v>
      </c>
      <c r="L86" s="7" t="s">
        <v>39</v>
      </c>
      <c r="M86" s="4">
        <f>SUMIFS(FinanceData[[#This Row],[Amount]],FinanceData[[#This Row],[Indicator]],"Income")</f>
        <v>0</v>
      </c>
      <c r="N86" s="4">
        <f>SUMIFS(FinanceData[[#This Row],[Amount]],FinanceData[[#This Row],[Indicator]],"Expense")</f>
        <v>-5727.3846153846298</v>
      </c>
      <c r="O86" s="16">
        <f>IFERROR(FinanceData[[#This Row],[Savings]]/FinanceData[[#This Row],[Total Income]],0)</f>
        <v>0</v>
      </c>
    </row>
    <row r="87" spans="1:15" ht="15" thickBot="1" x14ac:dyDescent="0.35">
      <c r="A87" s="6">
        <v>46037</v>
      </c>
      <c r="B87" s="4" t="str">
        <f>TEXT(FinanceData[[#This Row],[Date]],"mmm")</f>
        <v>Jan</v>
      </c>
      <c r="C87" s="4" t="s">
        <v>40</v>
      </c>
      <c r="D87" s="4" t="s">
        <v>22</v>
      </c>
      <c r="E87" s="4" t="s">
        <v>14</v>
      </c>
      <c r="F87" s="4" t="s">
        <v>24</v>
      </c>
      <c r="G87" s="4">
        <v>-5915.1538461538303</v>
      </c>
      <c r="H87" s="4" t="s">
        <v>16</v>
      </c>
      <c r="I87" s="4">
        <f>FinanceData[[#This Row],[Total Income]]-FinanceData[[#This Row],[Total Expense]]</f>
        <v>-5915.1538461538303</v>
      </c>
      <c r="J87" s="4">
        <v>-3340.76923076925</v>
      </c>
      <c r="K87" s="4">
        <v>322.92307692307497</v>
      </c>
      <c r="L87" s="7" t="s">
        <v>41</v>
      </c>
      <c r="M87" s="4">
        <f>SUMIFS(FinanceData[[#This Row],[Amount]],FinanceData[[#This Row],[Indicator]],"Income")</f>
        <v>-5915.1538461538303</v>
      </c>
      <c r="N87" s="4">
        <f>SUMIFS(FinanceData[[#This Row],[Amount]],FinanceData[[#This Row],[Indicator]],"Expense")</f>
        <v>0</v>
      </c>
      <c r="O87" s="16">
        <f>IFERROR(FinanceData[[#This Row],[Savings]]/FinanceData[[#This Row],[Total Income]],0)</f>
        <v>1</v>
      </c>
    </row>
    <row r="88" spans="1:15" ht="15" thickBot="1" x14ac:dyDescent="0.35">
      <c r="A88" s="6">
        <v>46038</v>
      </c>
      <c r="B88" s="4" t="str">
        <f>TEXT(FinanceData[[#This Row],[Date]],"mmm")</f>
        <v>Jan</v>
      </c>
      <c r="C88" s="4" t="s">
        <v>14</v>
      </c>
      <c r="D88" s="4" t="s">
        <v>22</v>
      </c>
      <c r="E88" s="4" t="s">
        <v>23</v>
      </c>
      <c r="F88" s="4" t="s">
        <v>24</v>
      </c>
      <c r="G88" s="4">
        <v>-6102.9230769230298</v>
      </c>
      <c r="H88" s="4" t="s">
        <v>20</v>
      </c>
      <c r="I88" s="4">
        <f>FinanceData[[#This Row],[Total Income]]-FinanceData[[#This Row],[Total Expense]]</f>
        <v>6102.9230769230298</v>
      </c>
      <c r="J88" s="4">
        <v>-3524.6153846153502</v>
      </c>
      <c r="K88" s="4">
        <v>303.53846153846501</v>
      </c>
      <c r="L88" s="7" t="s">
        <v>42</v>
      </c>
      <c r="M88" s="4">
        <f>SUMIFS(FinanceData[[#This Row],[Amount]],FinanceData[[#This Row],[Indicator]],"Income")</f>
        <v>0</v>
      </c>
      <c r="N88" s="4">
        <f>SUMIFS(FinanceData[[#This Row],[Amount]],FinanceData[[#This Row],[Indicator]],"Expense")</f>
        <v>-6102.9230769230298</v>
      </c>
      <c r="O88" s="16">
        <f>IFERROR(FinanceData[[#This Row],[Savings]]/FinanceData[[#This Row],[Total Income]],0)</f>
        <v>0</v>
      </c>
    </row>
    <row r="89" spans="1:15" ht="15" thickBot="1" x14ac:dyDescent="0.35">
      <c r="A89" s="6">
        <v>46040</v>
      </c>
      <c r="B89" s="4" t="str">
        <f>TEXT(FinanceData[[#This Row],[Date]],"mmm")</f>
        <v>Jan</v>
      </c>
      <c r="C89" s="4" t="s">
        <v>14</v>
      </c>
      <c r="D89" s="4" t="s">
        <v>34</v>
      </c>
      <c r="E89" s="4" t="s">
        <v>23</v>
      </c>
      <c r="F89" s="4" t="s">
        <v>24</v>
      </c>
      <c r="G89" s="4">
        <v>-6290.6923076923304</v>
      </c>
      <c r="H89" s="4" t="s">
        <v>20</v>
      </c>
      <c r="I89" s="4">
        <f>FinanceData[[#This Row],[Total Income]]-FinanceData[[#This Row],[Total Expense]]</f>
        <v>6290.6923076923304</v>
      </c>
      <c r="J89" s="4">
        <v>-3708.4615384615499</v>
      </c>
      <c r="K89" s="4">
        <v>284.153846153845</v>
      </c>
      <c r="L89" s="7" t="s">
        <v>44</v>
      </c>
      <c r="M89" s="4">
        <f>SUMIFS(FinanceData[[#This Row],[Amount]],FinanceData[[#This Row],[Indicator]],"Income")</f>
        <v>0</v>
      </c>
      <c r="N89" s="4">
        <f>SUMIFS(FinanceData[[#This Row],[Amount]],FinanceData[[#This Row],[Indicator]],"Expense")</f>
        <v>-6290.6923076923304</v>
      </c>
      <c r="O89" s="16">
        <f>IFERROR(FinanceData[[#This Row],[Savings]]/FinanceData[[#This Row],[Total Income]],0)</f>
        <v>0</v>
      </c>
    </row>
    <row r="90" spans="1:15" ht="15" thickBot="1" x14ac:dyDescent="0.35">
      <c r="A90" s="6">
        <v>46042</v>
      </c>
      <c r="B90" s="4" t="str">
        <f>TEXT(FinanceData[[#This Row],[Date]],"mmm")</f>
        <v>Jan</v>
      </c>
      <c r="C90" s="4" t="s">
        <v>14</v>
      </c>
      <c r="D90" s="4" t="s">
        <v>22</v>
      </c>
      <c r="E90" s="4" t="s">
        <v>23</v>
      </c>
      <c r="F90" s="4" t="s">
        <v>24</v>
      </c>
      <c r="G90" s="4">
        <v>-6478.4615384615299</v>
      </c>
      <c r="H90" s="4" t="s">
        <v>20</v>
      </c>
      <c r="I90" s="4">
        <f>FinanceData[[#This Row],[Total Income]]-FinanceData[[#This Row],[Total Expense]]</f>
        <v>6478.4615384615299</v>
      </c>
      <c r="J90" s="4">
        <v>-3892.3076923076601</v>
      </c>
      <c r="K90" s="4">
        <v>264.76923076923498</v>
      </c>
      <c r="L90" s="7" t="s">
        <v>45</v>
      </c>
      <c r="M90" s="4">
        <f>SUMIFS(FinanceData[[#This Row],[Amount]],FinanceData[[#This Row],[Indicator]],"Income")</f>
        <v>0</v>
      </c>
      <c r="N90" s="4">
        <f>SUMIFS(FinanceData[[#This Row],[Amount]],FinanceData[[#This Row],[Indicator]],"Expense")</f>
        <v>-6478.4615384615299</v>
      </c>
      <c r="O90" s="16">
        <f>IFERROR(FinanceData[[#This Row],[Savings]]/FinanceData[[#This Row],[Total Income]],0)</f>
        <v>0</v>
      </c>
    </row>
    <row r="91" spans="1:15" ht="15" thickBot="1" x14ac:dyDescent="0.35">
      <c r="A91" s="6">
        <v>46044</v>
      </c>
      <c r="B91" s="4" t="str">
        <f>TEXT(FinanceData[[#This Row],[Date]],"mmm")</f>
        <v>Jan</v>
      </c>
      <c r="C91" s="4" t="s">
        <v>14</v>
      </c>
      <c r="D91" s="4" t="s">
        <v>22</v>
      </c>
      <c r="E91" s="4" t="s">
        <v>19</v>
      </c>
      <c r="F91" s="4" t="s">
        <v>24</v>
      </c>
      <c r="G91" s="4">
        <v>-6666.2307692307304</v>
      </c>
      <c r="H91" s="4" t="s">
        <v>20</v>
      </c>
      <c r="I91" s="4">
        <f>FinanceData[[#This Row],[Total Income]]-FinanceData[[#This Row],[Total Expense]]</f>
        <v>6666.2307692307304</v>
      </c>
      <c r="J91" s="4">
        <v>-4076.1538461538498</v>
      </c>
      <c r="K91" s="4">
        <v>245.38461538461499</v>
      </c>
      <c r="L91" s="7" t="s">
        <v>47</v>
      </c>
      <c r="M91" s="4">
        <f>SUMIFS(FinanceData[[#This Row],[Amount]],FinanceData[[#This Row],[Indicator]],"Income")</f>
        <v>0</v>
      </c>
      <c r="N91" s="4">
        <f>SUMIFS(FinanceData[[#This Row],[Amount]],FinanceData[[#This Row],[Indicator]],"Expense")</f>
        <v>-6666.2307692307304</v>
      </c>
      <c r="O91" s="16">
        <f>IFERROR(FinanceData[[#This Row],[Savings]]/FinanceData[[#This Row],[Total Income]],0)</f>
        <v>0</v>
      </c>
    </row>
    <row r="92" spans="1:15" ht="15" thickBot="1" x14ac:dyDescent="0.35">
      <c r="A92" s="6">
        <v>46046</v>
      </c>
      <c r="B92" s="4" t="str">
        <f>TEXT(FinanceData[[#This Row],[Date]],"mmm")</f>
        <v>Jan</v>
      </c>
      <c r="C92" s="4" t="s">
        <v>14</v>
      </c>
      <c r="D92" s="4" t="s">
        <v>22</v>
      </c>
      <c r="E92" s="4" t="s">
        <v>23</v>
      </c>
      <c r="F92" s="4" t="s">
        <v>24</v>
      </c>
      <c r="G92" s="4">
        <v>-6854.00000000003</v>
      </c>
      <c r="H92" s="4" t="s">
        <v>20</v>
      </c>
      <c r="I92" s="4">
        <f>FinanceData[[#This Row],[Total Income]]-FinanceData[[#This Row],[Total Expense]]</f>
        <v>6854.00000000003</v>
      </c>
      <c r="J92" s="4">
        <v>-4259.99999999995</v>
      </c>
      <c r="K92" s="4">
        <v>225.999999999995</v>
      </c>
      <c r="L92" s="7" t="s">
        <v>48</v>
      </c>
      <c r="M92" s="4">
        <f>SUMIFS(FinanceData[[#This Row],[Amount]],FinanceData[[#This Row],[Indicator]],"Income")</f>
        <v>0</v>
      </c>
      <c r="N92" s="4">
        <f>SUMIFS(FinanceData[[#This Row],[Amount]],FinanceData[[#This Row],[Indicator]],"Expense")</f>
        <v>-6854.00000000003</v>
      </c>
      <c r="O92" s="16">
        <f>IFERROR(FinanceData[[#This Row],[Savings]]/FinanceData[[#This Row],[Total Income]],0)</f>
        <v>0</v>
      </c>
    </row>
    <row r="93" spans="1:15" ht="15" thickBot="1" x14ac:dyDescent="0.35">
      <c r="A93" s="6">
        <v>46047</v>
      </c>
      <c r="B93" s="4" t="str">
        <f>TEXT(FinanceData[[#This Row],[Date]],"mmm")</f>
        <v>Jan</v>
      </c>
      <c r="C93" s="4" t="s">
        <v>14</v>
      </c>
      <c r="D93" s="4" t="s">
        <v>22</v>
      </c>
      <c r="E93" s="4" t="s">
        <v>23</v>
      </c>
      <c r="F93" s="4" t="s">
        <v>24</v>
      </c>
      <c r="G93" s="4">
        <v>-7041.7692307692296</v>
      </c>
      <c r="H93" s="4" t="s">
        <v>20</v>
      </c>
      <c r="I93" s="4">
        <f>FinanceData[[#This Row],[Total Income]]-FinanceData[[#This Row],[Total Expense]]</f>
        <v>7041.7692307692296</v>
      </c>
      <c r="J93" s="4">
        <v>-4443.8461538461497</v>
      </c>
      <c r="K93" s="4">
        <v>206.61538461538501</v>
      </c>
      <c r="L93" s="7" t="s">
        <v>32</v>
      </c>
      <c r="M93" s="4">
        <f>SUMIFS(FinanceData[[#This Row],[Amount]],FinanceData[[#This Row],[Indicator]],"Income")</f>
        <v>0</v>
      </c>
      <c r="N93" s="4">
        <f>SUMIFS(FinanceData[[#This Row],[Amount]],FinanceData[[#This Row],[Indicator]],"Expense")</f>
        <v>-7041.7692307692296</v>
      </c>
      <c r="O93" s="16">
        <f>IFERROR(FinanceData[[#This Row],[Savings]]/FinanceData[[#This Row],[Total Income]],0)</f>
        <v>0</v>
      </c>
    </row>
    <row r="94" spans="1:15" ht="15" thickBot="1" x14ac:dyDescent="0.35">
      <c r="A94" s="6">
        <v>46048</v>
      </c>
      <c r="B94" s="4" t="str">
        <f>TEXT(FinanceData[[#This Row],[Date]],"mmm")</f>
        <v>Jan</v>
      </c>
      <c r="C94" s="4" t="s">
        <v>14</v>
      </c>
      <c r="D94" s="4" t="s">
        <v>22</v>
      </c>
      <c r="E94" s="4" t="s">
        <v>23</v>
      </c>
      <c r="F94" s="4" t="s">
        <v>24</v>
      </c>
      <c r="G94" s="4">
        <v>-7229.5384615384301</v>
      </c>
      <c r="H94" s="4" t="s">
        <v>20</v>
      </c>
      <c r="I94" s="4">
        <f>FinanceData[[#This Row],[Total Income]]-FinanceData[[#This Row],[Total Expense]]</f>
        <v>7229.5384615384301</v>
      </c>
      <c r="J94" s="4">
        <v>-4627.6923076923504</v>
      </c>
      <c r="K94" s="4">
        <v>187.23076923076499</v>
      </c>
      <c r="L94" s="7" t="s">
        <v>49</v>
      </c>
      <c r="M94" s="4">
        <f>SUMIFS(FinanceData[[#This Row],[Amount]],FinanceData[[#This Row],[Indicator]],"Income")</f>
        <v>0</v>
      </c>
      <c r="N94" s="4">
        <f>SUMIFS(FinanceData[[#This Row],[Amount]],FinanceData[[#This Row],[Indicator]],"Expense")</f>
        <v>-7229.5384615384301</v>
      </c>
      <c r="O94" s="16">
        <f>IFERROR(FinanceData[[#This Row],[Savings]]/FinanceData[[#This Row],[Total Income]],0)</f>
        <v>0</v>
      </c>
    </row>
    <row r="95" spans="1:15" ht="15" thickBot="1" x14ac:dyDescent="0.35">
      <c r="A95" s="6">
        <v>46050</v>
      </c>
      <c r="B95" s="4" t="str">
        <f>TEXT(FinanceData[[#This Row],[Date]],"mmm")</f>
        <v>Jan</v>
      </c>
      <c r="C95" s="4" t="s">
        <v>14</v>
      </c>
      <c r="D95" s="4" t="s">
        <v>22</v>
      </c>
      <c r="E95" s="4" t="s">
        <v>23</v>
      </c>
      <c r="F95" s="4" t="s">
        <v>24</v>
      </c>
      <c r="G95" s="4">
        <v>-7417.3076923077297</v>
      </c>
      <c r="H95" s="4" t="s">
        <v>20</v>
      </c>
      <c r="I95" s="4">
        <f>FinanceData[[#This Row],[Total Income]]-FinanceData[[#This Row],[Total Expense]]</f>
        <v>7417.3076923077297</v>
      </c>
      <c r="J95" s="4">
        <v>-4811.5384615384601</v>
      </c>
      <c r="K95" s="4">
        <v>167.84615384615401</v>
      </c>
      <c r="L95" s="7" t="s">
        <v>50</v>
      </c>
      <c r="M95" s="4">
        <f>SUMIFS(FinanceData[[#This Row],[Amount]],FinanceData[[#This Row],[Indicator]],"Income")</f>
        <v>0</v>
      </c>
      <c r="N95" s="4">
        <f>SUMIFS(FinanceData[[#This Row],[Amount]],FinanceData[[#This Row],[Indicator]],"Expense")</f>
        <v>-7417.3076923077297</v>
      </c>
      <c r="O95" s="16">
        <f>IFERROR(FinanceData[[#This Row],[Savings]]/FinanceData[[#This Row],[Total Income]],0)</f>
        <v>0</v>
      </c>
    </row>
    <row r="96" spans="1:15" ht="15" thickBot="1" x14ac:dyDescent="0.35">
      <c r="A96" s="6">
        <v>46052</v>
      </c>
      <c r="B96" s="4" t="str">
        <f>TEXT(FinanceData[[#This Row],[Date]],"mmm")</f>
        <v>Jan</v>
      </c>
      <c r="C96" s="4" t="s">
        <v>14</v>
      </c>
      <c r="D96" s="4" t="s">
        <v>22</v>
      </c>
      <c r="E96" s="4" t="s">
        <v>19</v>
      </c>
      <c r="F96" s="4" t="s">
        <v>24</v>
      </c>
      <c r="G96" s="4">
        <v>-7605.0769230769301</v>
      </c>
      <c r="H96" s="4" t="s">
        <v>20</v>
      </c>
      <c r="I96" s="4">
        <f>FinanceData[[#This Row],[Total Income]]-FinanceData[[#This Row],[Total Expense]]</f>
        <v>7605.0769230769301</v>
      </c>
      <c r="J96" s="4">
        <v>-4995.3846153846598</v>
      </c>
      <c r="K96" s="4">
        <v>148.46153846153399</v>
      </c>
      <c r="L96" s="7" t="s">
        <v>52</v>
      </c>
      <c r="M96" s="4">
        <f>SUMIFS(FinanceData[[#This Row],[Amount]],FinanceData[[#This Row],[Indicator]],"Income")</f>
        <v>0</v>
      </c>
      <c r="N96" s="4">
        <f>SUMIFS(FinanceData[[#This Row],[Amount]],FinanceData[[#This Row],[Indicator]],"Expense")</f>
        <v>-7605.0769230769301</v>
      </c>
      <c r="O96" s="16">
        <f>IFERROR(FinanceData[[#This Row],[Savings]]/FinanceData[[#This Row],[Total Income]],0)</f>
        <v>0</v>
      </c>
    </row>
    <row r="97" spans="1:15" ht="15" thickBot="1" x14ac:dyDescent="0.35">
      <c r="A97" s="6">
        <v>46054</v>
      </c>
      <c r="B97" s="4" t="str">
        <f>TEXT(FinanceData[[#This Row],[Date]],"mmm")</f>
        <v>Feb</v>
      </c>
      <c r="C97" s="4" t="s">
        <v>13</v>
      </c>
      <c r="D97" s="4" t="s">
        <v>22</v>
      </c>
      <c r="E97" s="4" t="s">
        <v>14</v>
      </c>
      <c r="F97" s="4" t="s">
        <v>24</v>
      </c>
      <c r="G97" s="4">
        <v>-7792.8461538461297</v>
      </c>
      <c r="H97" s="4" t="s">
        <v>16</v>
      </c>
      <c r="I97" s="4">
        <f>FinanceData[[#This Row],[Total Income]]-FinanceData[[#This Row],[Total Expense]]</f>
        <v>-7792.8461538461297</v>
      </c>
      <c r="J97" s="4">
        <v>-5179.2307692307504</v>
      </c>
      <c r="K97" s="4">
        <v>129.076923076924</v>
      </c>
      <c r="L97" s="7" t="s">
        <v>17</v>
      </c>
      <c r="M97" s="4">
        <f>SUMIFS(FinanceData[[#This Row],[Amount]],FinanceData[[#This Row],[Indicator]],"Income")</f>
        <v>-7792.8461538461297</v>
      </c>
      <c r="N97" s="4">
        <f>SUMIFS(FinanceData[[#This Row],[Amount]],FinanceData[[#This Row],[Indicator]],"Expense")</f>
        <v>0</v>
      </c>
      <c r="O97" s="16">
        <f>IFERROR(FinanceData[[#This Row],[Savings]]/FinanceData[[#This Row],[Total Income]],0)</f>
        <v>1</v>
      </c>
    </row>
    <row r="98" spans="1:15" ht="15" thickBot="1" x14ac:dyDescent="0.35">
      <c r="A98" s="6">
        <v>46055</v>
      </c>
      <c r="B98" s="4" t="str">
        <f>TEXT(FinanceData[[#This Row],[Date]],"mmm")</f>
        <v>Feb</v>
      </c>
      <c r="C98" s="4" t="s">
        <v>14</v>
      </c>
      <c r="D98" s="4" t="s">
        <v>22</v>
      </c>
      <c r="E98" s="4" t="s">
        <v>19</v>
      </c>
      <c r="F98" s="4" t="s">
        <v>24</v>
      </c>
      <c r="G98" s="4">
        <v>-7980.6153846154302</v>
      </c>
      <c r="H98" s="4" t="s">
        <v>20</v>
      </c>
      <c r="I98" s="4">
        <f>FinanceData[[#This Row],[Total Income]]-FinanceData[[#This Row],[Total Expense]]</f>
        <v>7980.6153846154302</v>
      </c>
      <c r="J98" s="4">
        <v>-5363.0769230769502</v>
      </c>
      <c r="K98" s="4">
        <v>109.692307692304</v>
      </c>
      <c r="L98" s="7" t="s">
        <v>21</v>
      </c>
      <c r="M98" s="4">
        <f>SUMIFS(FinanceData[[#This Row],[Amount]],FinanceData[[#This Row],[Indicator]],"Income")</f>
        <v>0</v>
      </c>
      <c r="N98" s="4">
        <f>SUMIFS(FinanceData[[#This Row],[Amount]],FinanceData[[#This Row],[Indicator]],"Expense")</f>
        <v>-7980.6153846154302</v>
      </c>
      <c r="O98" s="16">
        <f>IFERROR(FinanceData[[#This Row],[Savings]]/FinanceData[[#This Row],[Total Income]],0)</f>
        <v>0</v>
      </c>
    </row>
    <row r="99" spans="1:15" ht="15" thickBot="1" x14ac:dyDescent="0.35">
      <c r="A99" s="6">
        <v>46057</v>
      </c>
      <c r="B99" s="4" t="str">
        <f>TEXT(FinanceData[[#This Row],[Date]],"mmm")</f>
        <v>Feb</v>
      </c>
      <c r="C99" s="4" t="s">
        <v>14</v>
      </c>
      <c r="D99" s="4" t="s">
        <v>22</v>
      </c>
      <c r="E99" s="4" t="s">
        <v>23</v>
      </c>
      <c r="F99" s="4" t="s">
        <v>24</v>
      </c>
      <c r="G99" s="4">
        <v>-8168.3846153846298</v>
      </c>
      <c r="H99" s="4" t="s">
        <v>20</v>
      </c>
      <c r="I99" s="4">
        <f>FinanceData[[#This Row],[Total Income]]-FinanceData[[#This Row],[Total Expense]]</f>
        <v>8168.3846153846298</v>
      </c>
      <c r="J99" s="4">
        <v>-5546.9230769230498</v>
      </c>
      <c r="K99" s="4">
        <v>90.307692307694396</v>
      </c>
      <c r="L99" s="7" t="s">
        <v>25</v>
      </c>
      <c r="M99" s="4">
        <f>SUMIFS(FinanceData[[#This Row],[Amount]],FinanceData[[#This Row],[Indicator]],"Income")</f>
        <v>0</v>
      </c>
      <c r="N99" s="4">
        <f>SUMIFS(FinanceData[[#This Row],[Amount]],FinanceData[[#This Row],[Indicator]],"Expense")</f>
        <v>-8168.3846153846298</v>
      </c>
      <c r="O99" s="16">
        <f>IFERROR(FinanceData[[#This Row],[Savings]]/FinanceData[[#This Row],[Total Income]],0)</f>
        <v>0</v>
      </c>
    </row>
    <row r="100" spans="1:15" ht="15" thickBot="1" x14ac:dyDescent="0.35">
      <c r="A100" s="6">
        <v>46059</v>
      </c>
      <c r="B100" s="4" t="str">
        <f>TEXT(FinanceData[[#This Row],[Date]],"mmm")</f>
        <v>Feb</v>
      </c>
      <c r="C100" s="4" t="s">
        <v>26</v>
      </c>
      <c r="D100" s="4" t="s">
        <v>22</v>
      </c>
      <c r="E100" s="4" t="s">
        <v>14</v>
      </c>
      <c r="F100" s="4" t="s">
        <v>24</v>
      </c>
      <c r="G100" s="4">
        <v>-8356.1538461538294</v>
      </c>
      <c r="H100" s="4" t="s">
        <v>16</v>
      </c>
      <c r="I100" s="4">
        <f>FinanceData[[#This Row],[Total Income]]-FinanceData[[#This Row],[Total Expense]]</f>
        <v>-8356.1538461538294</v>
      </c>
      <c r="J100" s="4">
        <v>-5730.7692307692496</v>
      </c>
      <c r="K100" s="4">
        <v>70.923076923074603</v>
      </c>
      <c r="L100" s="7" t="s">
        <v>54</v>
      </c>
      <c r="M100" s="4">
        <f>SUMIFS(FinanceData[[#This Row],[Amount]],FinanceData[[#This Row],[Indicator]],"Income")</f>
        <v>-8356.1538461538294</v>
      </c>
      <c r="N100" s="4">
        <f>SUMIFS(FinanceData[[#This Row],[Amount]],FinanceData[[#This Row],[Indicator]],"Expense")</f>
        <v>0</v>
      </c>
      <c r="O100" s="16">
        <f>IFERROR(FinanceData[[#This Row],[Savings]]/FinanceData[[#This Row],[Total Income]],0)</f>
        <v>1</v>
      </c>
    </row>
    <row r="101" spans="1:15" ht="15" thickBot="1" x14ac:dyDescent="0.35">
      <c r="A101" s="11">
        <v>46061</v>
      </c>
      <c r="B101" s="4" t="str">
        <f>TEXT(FinanceData[[#This Row],[Date]],"mmm")</f>
        <v>Feb</v>
      </c>
      <c r="C101" s="12" t="s">
        <v>14</v>
      </c>
      <c r="D101" s="4" t="s">
        <v>22</v>
      </c>
      <c r="E101" s="12" t="s">
        <v>23</v>
      </c>
      <c r="F101" s="4" t="s">
        <v>24</v>
      </c>
      <c r="G101" s="12">
        <v>-8543.9230769231308</v>
      </c>
      <c r="H101" s="12" t="s">
        <v>20</v>
      </c>
      <c r="I101" s="4">
        <f>FinanceData[[#This Row],[Total Income]]-FinanceData[[#This Row],[Total Expense]]</f>
        <v>8543.9230769231308</v>
      </c>
      <c r="J101" s="12">
        <v>-5914.6153846153602</v>
      </c>
      <c r="K101" s="12">
        <v>51.538461538464603</v>
      </c>
      <c r="L101" s="13" t="s">
        <v>55</v>
      </c>
      <c r="M101" s="12">
        <f>SUMIFS(FinanceData[[#This Row],[Amount]],FinanceData[[#This Row],[Indicator]],"Income")</f>
        <v>0</v>
      </c>
      <c r="N101" s="12">
        <f>SUMIFS(FinanceData[[#This Row],[Amount]],FinanceData[[#This Row],[Indicator]],"Expense")</f>
        <v>-8543.9230769231308</v>
      </c>
      <c r="O101" s="16">
        <f>IFERROR(FinanceData[[#This Row],[Savings]]/FinanceData[[#This Row],[Total Income]],0)</f>
        <v>0</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C275C57C-EA49-46AF-853C-F06A6E6247BE}">
          <x14:formula1>
            <xm:f>Settings!$A$2:$A$9</xm:f>
          </x14:formula1>
          <xm:sqref>D1:D1048576</xm:sqref>
        </x14:dataValidation>
        <x14:dataValidation type="list" allowBlank="1" showInputMessage="1" showErrorMessage="1" xr:uid="{6D51DB83-AEB0-4560-8796-7BB479514AB3}">
          <x14:formula1>
            <xm:f>Settings!$B$2:$B$5</xm:f>
          </x14:formula1>
          <xm:sqref>F1:F1048576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56BCE-603B-41EF-B65F-4870D8C07641}">
  <dimension ref="A1:W153"/>
  <sheetViews>
    <sheetView showGridLines="0" workbookViewId="0">
      <selection activeCell="L24" sqref="L24"/>
    </sheetView>
  </sheetViews>
  <sheetFormatPr defaultRowHeight="14.4" x14ac:dyDescent="0.3"/>
  <sheetData>
    <row r="1" spans="1:23" s="20" customFormat="1" x14ac:dyDescent="0.3">
      <c r="A1" s="21" t="s">
        <v>66</v>
      </c>
      <c r="B1" s="21"/>
      <c r="C1" s="21"/>
      <c r="D1" s="21"/>
      <c r="E1" s="21"/>
      <c r="F1" s="21"/>
      <c r="G1" s="21"/>
      <c r="H1" s="21"/>
      <c r="I1" s="21"/>
      <c r="J1" s="21"/>
      <c r="K1" s="21"/>
      <c r="L1" s="21"/>
      <c r="M1" s="21"/>
      <c r="N1" s="21"/>
      <c r="O1" s="21"/>
      <c r="P1" s="21"/>
      <c r="Q1" s="21"/>
      <c r="R1" s="21"/>
      <c r="S1" s="21"/>
      <c r="T1" s="21"/>
      <c r="U1" s="21"/>
      <c r="V1" s="21"/>
      <c r="W1" s="21"/>
    </row>
    <row r="2" spans="1:23" s="20" customFormat="1" x14ac:dyDescent="0.3">
      <c r="A2" s="21"/>
      <c r="B2" s="21"/>
      <c r="C2" s="21"/>
      <c r="D2" s="21"/>
      <c r="E2" s="21"/>
      <c r="F2" s="21"/>
      <c r="G2" s="21"/>
      <c r="H2" s="21"/>
      <c r="I2" s="21"/>
      <c r="J2" s="21"/>
      <c r="K2" s="21"/>
      <c r="L2" s="21"/>
      <c r="M2" s="21"/>
      <c r="N2" s="21"/>
      <c r="O2" s="21"/>
      <c r="P2" s="21"/>
      <c r="Q2" s="21"/>
      <c r="R2" s="21"/>
      <c r="S2" s="21"/>
      <c r="T2" s="21"/>
      <c r="U2" s="21"/>
      <c r="V2" s="21"/>
      <c r="W2" s="21"/>
    </row>
    <row r="3" spans="1:23" s="20" customFormat="1" x14ac:dyDescent="0.3">
      <c r="A3" s="21"/>
      <c r="B3" s="21"/>
      <c r="C3" s="21"/>
      <c r="D3" s="21"/>
      <c r="E3" s="21"/>
      <c r="F3" s="21"/>
      <c r="G3" s="21"/>
      <c r="H3" s="21"/>
      <c r="I3" s="21"/>
      <c r="J3" s="21"/>
      <c r="K3" s="21"/>
      <c r="L3" s="21"/>
      <c r="M3" s="21"/>
      <c r="N3" s="21"/>
      <c r="O3" s="21"/>
      <c r="P3" s="21"/>
      <c r="Q3" s="21"/>
      <c r="R3" s="21"/>
      <c r="S3" s="21"/>
      <c r="T3" s="21"/>
      <c r="U3" s="21"/>
      <c r="V3" s="21"/>
      <c r="W3" s="21"/>
    </row>
    <row r="4" spans="1:23" s="20" customFormat="1" x14ac:dyDescent="0.3">
      <c r="A4" s="21"/>
      <c r="B4" s="21"/>
      <c r="C4" s="21"/>
      <c r="D4" s="21"/>
      <c r="E4" s="21"/>
      <c r="F4" s="21"/>
      <c r="G4" s="21"/>
      <c r="H4" s="21"/>
      <c r="I4" s="21"/>
      <c r="J4" s="21"/>
      <c r="K4" s="21"/>
      <c r="L4" s="21"/>
      <c r="M4" s="21"/>
      <c r="N4" s="21"/>
      <c r="O4" s="21"/>
      <c r="P4" s="21"/>
      <c r="Q4" s="21"/>
      <c r="R4" s="21"/>
      <c r="S4" s="21"/>
      <c r="T4" s="21"/>
      <c r="U4" s="21"/>
      <c r="V4" s="21"/>
      <c r="W4" s="21"/>
    </row>
    <row r="5" spans="1:23" s="19" customFormat="1" x14ac:dyDescent="0.3"/>
    <row r="6" spans="1:23" s="19" customFormat="1" x14ac:dyDescent="0.3"/>
    <row r="7" spans="1:23" s="19" customFormat="1" x14ac:dyDescent="0.3"/>
    <row r="8" spans="1:23" s="19" customFormat="1" x14ac:dyDescent="0.3"/>
    <row r="9" spans="1:23" s="19" customFormat="1" x14ac:dyDescent="0.3"/>
    <row r="10" spans="1:23" s="19" customFormat="1" x14ac:dyDescent="0.3"/>
    <row r="11" spans="1:23" s="19" customFormat="1" x14ac:dyDescent="0.3"/>
    <row r="12" spans="1:23" s="19" customFormat="1" x14ac:dyDescent="0.3"/>
    <row r="13" spans="1:23" s="19" customFormat="1" x14ac:dyDescent="0.3"/>
    <row r="14" spans="1:23" s="19" customFormat="1" x14ac:dyDescent="0.3"/>
    <row r="15" spans="1:23" s="19" customFormat="1" x14ac:dyDescent="0.3"/>
    <row r="16" spans="1:23" s="19" customFormat="1" x14ac:dyDescent="0.3"/>
    <row r="17" s="19" customFormat="1" x14ac:dyDescent="0.3"/>
    <row r="18" s="19" customFormat="1" x14ac:dyDescent="0.3"/>
    <row r="19" s="19" customFormat="1" x14ac:dyDescent="0.3"/>
    <row r="20" s="19" customFormat="1" x14ac:dyDescent="0.3"/>
    <row r="21" s="19" customFormat="1" x14ac:dyDescent="0.3"/>
    <row r="22" s="19" customFormat="1" x14ac:dyDescent="0.3"/>
    <row r="23" s="19" customFormat="1" x14ac:dyDescent="0.3"/>
    <row r="24" s="19" customFormat="1" x14ac:dyDescent="0.3"/>
    <row r="25" s="19" customFormat="1" x14ac:dyDescent="0.3"/>
    <row r="26" s="19" customFormat="1" x14ac:dyDescent="0.3"/>
    <row r="27" s="19" customFormat="1" x14ac:dyDescent="0.3"/>
    <row r="28" s="19" customFormat="1" x14ac:dyDescent="0.3"/>
    <row r="29" s="19" customFormat="1" x14ac:dyDescent="0.3"/>
    <row r="30" s="19" customFormat="1" x14ac:dyDescent="0.3"/>
    <row r="31" s="19" customFormat="1" x14ac:dyDescent="0.3"/>
    <row r="32" s="19" customFormat="1" x14ac:dyDescent="0.3"/>
    <row r="33" s="19" customFormat="1" x14ac:dyDescent="0.3"/>
    <row r="34" s="19" customFormat="1" x14ac:dyDescent="0.3"/>
    <row r="35" s="19" customFormat="1" x14ac:dyDescent="0.3"/>
    <row r="36" s="19" customFormat="1" x14ac:dyDescent="0.3"/>
    <row r="37" s="19" customFormat="1" x14ac:dyDescent="0.3"/>
    <row r="38" s="19" customFormat="1" x14ac:dyDescent="0.3"/>
    <row r="39" s="19" customFormat="1" x14ac:dyDescent="0.3"/>
    <row r="40" s="19" customFormat="1" x14ac:dyDescent="0.3"/>
    <row r="41" s="19" customFormat="1" x14ac:dyDescent="0.3"/>
    <row r="42" s="19" customFormat="1" x14ac:dyDescent="0.3"/>
    <row r="43" s="19" customFormat="1" x14ac:dyDescent="0.3"/>
    <row r="44" s="19" customFormat="1" x14ac:dyDescent="0.3"/>
    <row r="45" s="19" customFormat="1" x14ac:dyDescent="0.3"/>
    <row r="46" s="19" customFormat="1" x14ac:dyDescent="0.3"/>
    <row r="47" s="19" customFormat="1" x14ac:dyDescent="0.3"/>
    <row r="48" s="19" customFormat="1" x14ac:dyDescent="0.3"/>
    <row r="49" s="19" customFormat="1" x14ac:dyDescent="0.3"/>
    <row r="50" s="19" customFormat="1" x14ac:dyDescent="0.3"/>
    <row r="51" s="19" customFormat="1" x14ac:dyDescent="0.3"/>
    <row r="52" s="19" customFormat="1" x14ac:dyDescent="0.3"/>
    <row r="53" s="19" customFormat="1" x14ac:dyDescent="0.3"/>
    <row r="54" s="19" customFormat="1" x14ac:dyDescent="0.3"/>
    <row r="55" s="19" customFormat="1" x14ac:dyDescent="0.3"/>
    <row r="56" s="19" customFormat="1" x14ac:dyDescent="0.3"/>
    <row r="57" s="19" customFormat="1" x14ac:dyDescent="0.3"/>
    <row r="58" s="19" customFormat="1" x14ac:dyDescent="0.3"/>
    <row r="59" s="19" customFormat="1" x14ac:dyDescent="0.3"/>
    <row r="60" s="19" customFormat="1" x14ac:dyDescent="0.3"/>
    <row r="61" s="19" customFormat="1" x14ac:dyDescent="0.3"/>
    <row r="62" s="19" customFormat="1" x14ac:dyDescent="0.3"/>
    <row r="63" s="19" customFormat="1" x14ac:dyDescent="0.3"/>
    <row r="64" s="19" customFormat="1" x14ac:dyDescent="0.3"/>
    <row r="65" s="19" customFormat="1" x14ac:dyDescent="0.3"/>
    <row r="66" s="19" customFormat="1" x14ac:dyDescent="0.3"/>
    <row r="67" s="19" customFormat="1" x14ac:dyDescent="0.3"/>
    <row r="68" s="19" customFormat="1" x14ac:dyDescent="0.3"/>
    <row r="69" s="19" customFormat="1" x14ac:dyDescent="0.3"/>
    <row r="70" s="19" customFormat="1" x14ac:dyDescent="0.3"/>
    <row r="71" s="19" customFormat="1" x14ac:dyDescent="0.3"/>
    <row r="72" s="19" customFormat="1" x14ac:dyDescent="0.3"/>
    <row r="73" s="19" customFormat="1" x14ac:dyDescent="0.3"/>
    <row r="74" s="19" customFormat="1" x14ac:dyDescent="0.3"/>
    <row r="75" s="19" customFormat="1" x14ac:dyDescent="0.3"/>
    <row r="76" s="19" customFormat="1" x14ac:dyDescent="0.3"/>
    <row r="77" s="19" customFormat="1" x14ac:dyDescent="0.3"/>
    <row r="78" s="19" customFormat="1" x14ac:dyDescent="0.3"/>
    <row r="79" s="19" customFormat="1" x14ac:dyDescent="0.3"/>
    <row r="80" s="19" customFormat="1" x14ac:dyDescent="0.3"/>
    <row r="81" s="19" customFormat="1" x14ac:dyDescent="0.3"/>
    <row r="82" s="19" customFormat="1" x14ac:dyDescent="0.3"/>
    <row r="83" s="19" customFormat="1" x14ac:dyDescent="0.3"/>
    <row r="84" s="19" customFormat="1" x14ac:dyDescent="0.3"/>
    <row r="85" s="19" customFormat="1" x14ac:dyDescent="0.3"/>
    <row r="86" s="19" customFormat="1" x14ac:dyDescent="0.3"/>
    <row r="87" s="19" customFormat="1" x14ac:dyDescent="0.3"/>
    <row r="88" s="19" customFormat="1" x14ac:dyDescent="0.3"/>
    <row r="89" s="19" customFormat="1" x14ac:dyDescent="0.3"/>
    <row r="90" s="19" customFormat="1" x14ac:dyDescent="0.3"/>
    <row r="91" s="19" customFormat="1" x14ac:dyDescent="0.3"/>
    <row r="92" s="19" customFormat="1" x14ac:dyDescent="0.3"/>
    <row r="93" s="19" customFormat="1" x14ac:dyDescent="0.3"/>
    <row r="94" s="19" customFormat="1" x14ac:dyDescent="0.3"/>
    <row r="95" s="19" customFormat="1" x14ac:dyDescent="0.3"/>
    <row r="96" s="19" customFormat="1" x14ac:dyDescent="0.3"/>
    <row r="97" s="19" customFormat="1" x14ac:dyDescent="0.3"/>
    <row r="98" s="19" customFormat="1" x14ac:dyDescent="0.3"/>
    <row r="99" s="19" customFormat="1" x14ac:dyDescent="0.3"/>
    <row r="100" s="19" customFormat="1" x14ac:dyDescent="0.3"/>
    <row r="101" s="19" customFormat="1" x14ac:dyDescent="0.3"/>
    <row r="102" s="19" customFormat="1" x14ac:dyDescent="0.3"/>
    <row r="103" s="19" customFormat="1" x14ac:dyDescent="0.3"/>
    <row r="104" s="19" customFormat="1" x14ac:dyDescent="0.3"/>
    <row r="105" s="19" customFormat="1" x14ac:dyDescent="0.3"/>
    <row r="106" s="19" customFormat="1" x14ac:dyDescent="0.3"/>
    <row r="107" s="19" customFormat="1" x14ac:dyDescent="0.3"/>
    <row r="108" s="19" customFormat="1" x14ac:dyDescent="0.3"/>
    <row r="109" s="19" customFormat="1" x14ac:dyDescent="0.3"/>
    <row r="110" s="19" customFormat="1" x14ac:dyDescent="0.3"/>
    <row r="111" s="19" customFormat="1" x14ac:dyDescent="0.3"/>
    <row r="112" s="19" customFormat="1" x14ac:dyDescent="0.3"/>
    <row r="113" s="19" customFormat="1" x14ac:dyDescent="0.3"/>
    <row r="114" s="19" customFormat="1" x14ac:dyDescent="0.3"/>
    <row r="115" s="19" customFormat="1" x14ac:dyDescent="0.3"/>
    <row r="116" s="19" customFormat="1" x14ac:dyDescent="0.3"/>
    <row r="117" s="19" customFormat="1" x14ac:dyDescent="0.3"/>
    <row r="118" s="19" customFormat="1" x14ac:dyDescent="0.3"/>
    <row r="119" s="19" customFormat="1" x14ac:dyDescent="0.3"/>
    <row r="120" s="19" customFormat="1" x14ac:dyDescent="0.3"/>
    <row r="121" s="19" customFormat="1" x14ac:dyDescent="0.3"/>
    <row r="122" s="19" customFormat="1" x14ac:dyDescent="0.3"/>
    <row r="123" s="19" customFormat="1" x14ac:dyDescent="0.3"/>
    <row r="124" s="19" customFormat="1" x14ac:dyDescent="0.3"/>
    <row r="125" s="19" customFormat="1" x14ac:dyDescent="0.3"/>
    <row r="126" s="19" customFormat="1" x14ac:dyDescent="0.3"/>
    <row r="127" s="19" customFormat="1" x14ac:dyDescent="0.3"/>
    <row r="128" s="19" customFormat="1" x14ac:dyDescent="0.3"/>
    <row r="129" s="19" customFormat="1" x14ac:dyDescent="0.3"/>
    <row r="130" s="19" customFormat="1" x14ac:dyDescent="0.3"/>
    <row r="131" s="19" customFormat="1" x14ac:dyDescent="0.3"/>
    <row r="132" s="19" customFormat="1" x14ac:dyDescent="0.3"/>
    <row r="133" s="19" customFormat="1" x14ac:dyDescent="0.3"/>
    <row r="134" s="19" customFormat="1" x14ac:dyDescent="0.3"/>
    <row r="135" s="19" customFormat="1" x14ac:dyDescent="0.3"/>
    <row r="136" s="19" customFormat="1" x14ac:dyDescent="0.3"/>
    <row r="137" s="19" customFormat="1" x14ac:dyDescent="0.3"/>
    <row r="138" s="19" customFormat="1" x14ac:dyDescent="0.3"/>
    <row r="139" s="19" customFormat="1" x14ac:dyDescent="0.3"/>
    <row r="140" s="19" customFormat="1" x14ac:dyDescent="0.3"/>
    <row r="141" s="19" customFormat="1" x14ac:dyDescent="0.3"/>
    <row r="142" s="19" customFormat="1" x14ac:dyDescent="0.3"/>
    <row r="143" s="19" customFormat="1" x14ac:dyDescent="0.3"/>
    <row r="144" s="19" customFormat="1" x14ac:dyDescent="0.3"/>
    <row r="145" s="19" customFormat="1" x14ac:dyDescent="0.3"/>
    <row r="146" s="19" customFormat="1" x14ac:dyDescent="0.3"/>
    <row r="147" s="19" customFormat="1" x14ac:dyDescent="0.3"/>
    <row r="148" s="19" customFormat="1" x14ac:dyDescent="0.3"/>
    <row r="149" s="19" customFormat="1" x14ac:dyDescent="0.3"/>
    <row r="150" s="19" customFormat="1" x14ac:dyDescent="0.3"/>
    <row r="151" s="19" customFormat="1" x14ac:dyDescent="0.3"/>
    <row r="152" s="19" customFormat="1" x14ac:dyDescent="0.3"/>
    <row r="153" s="19" customFormat="1" x14ac:dyDescent="0.3"/>
  </sheetData>
  <mergeCells count="1">
    <mergeCell ref="A1:W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80A66-AEEC-4187-85AC-A570647A351F}">
  <dimension ref="A1:B9"/>
  <sheetViews>
    <sheetView workbookViewId="0">
      <selection activeCell="B6" sqref="B6"/>
    </sheetView>
  </sheetViews>
  <sheetFormatPr defaultRowHeight="14.4" x14ac:dyDescent="0.3"/>
  <cols>
    <col min="1" max="1" width="21.88671875" bestFit="1" customWidth="1"/>
    <col min="2" max="2" width="14.21875" bestFit="1" customWidth="1"/>
  </cols>
  <sheetData>
    <row r="1" spans="1:2" ht="18" x14ac:dyDescent="0.35">
      <c r="A1" s="14" t="s">
        <v>56</v>
      </c>
      <c r="B1" t="s">
        <v>57</v>
      </c>
    </row>
    <row r="2" spans="1:2" x14ac:dyDescent="0.3">
      <c r="A2" t="s">
        <v>22</v>
      </c>
      <c r="B2" t="s">
        <v>31</v>
      </c>
    </row>
    <row r="3" spans="1:2" x14ac:dyDescent="0.3">
      <c r="A3" t="s">
        <v>18</v>
      </c>
      <c r="B3" t="s">
        <v>24</v>
      </c>
    </row>
    <row r="4" spans="1:2" x14ac:dyDescent="0.3">
      <c r="A4" t="s">
        <v>30</v>
      </c>
      <c r="B4" t="s">
        <v>35</v>
      </c>
    </row>
    <row r="5" spans="1:2" x14ac:dyDescent="0.3">
      <c r="A5" t="s">
        <v>34</v>
      </c>
      <c r="B5" t="s">
        <v>15</v>
      </c>
    </row>
    <row r="6" spans="1:2" x14ac:dyDescent="0.3">
      <c r="A6" t="s">
        <v>28</v>
      </c>
    </row>
    <row r="7" spans="1:2" x14ac:dyDescent="0.3">
      <c r="A7" t="s">
        <v>43</v>
      </c>
    </row>
    <row r="8" spans="1:2" x14ac:dyDescent="0.3">
      <c r="A8" t="s">
        <v>37</v>
      </c>
    </row>
    <row r="9" spans="1:2" x14ac:dyDescent="0.3">
      <c r="A9"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Sheet5</vt:lpstr>
      <vt:lpstr>Calculation</vt:lpstr>
      <vt:lpstr>Dashboard</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patel</dc:creator>
  <cp:lastModifiedBy>ajay patel</cp:lastModifiedBy>
  <dcterms:created xsi:type="dcterms:W3CDTF">2026-04-12T15:06:35Z</dcterms:created>
  <dcterms:modified xsi:type="dcterms:W3CDTF">2026-04-13T15:30:40Z</dcterms:modified>
</cp:coreProperties>
</file>